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60" documentId="8_{329BCE8F-659B-4D27-BA82-B3F3A303309D}" xr6:coauthVersionLast="47" xr6:coauthVersionMax="47" xr10:uidLastSave="{EF561752-8F72-452F-AC26-BC53E4070304}"/>
  <bookViews>
    <workbookView xWindow="11424" yWindow="0" windowWidth="11712" windowHeight="12336" firstSheet="5" activeTab="7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  <sheet name="SumFilter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0" l="1" a="1"/>
  <c r="J8" i="10" s="1"/>
  <c r="J4" i="10" a="1"/>
  <c r="J4" i="10" s="1"/>
  <c r="J3" i="9" a="1"/>
  <c r="J3" i="9" s="1"/>
  <c r="I4" i="11"/>
  <c r="I3" i="11"/>
  <c r="I4" i="6" a="1"/>
  <c r="I4" i="6" s="1"/>
  <c r="I3" i="6" a="1"/>
  <c r="I3" i="6" s="1"/>
  <c r="I9" i="5"/>
  <c r="I8" i="5"/>
  <c r="I4" i="5"/>
  <c r="C10" i="4"/>
  <c r="C9" i="4"/>
  <c r="I5" i="1"/>
  <c r="I4" i="1"/>
  <c r="I3" i="1"/>
  <c r="I4" i="12"/>
  <c r="I8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B5" i="12" s="1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E3" i="10"/>
  <c r="F3" i="10" s="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12" l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<sst xmlns="http://schemas.openxmlformats.org/spreadsheetml/2006/main" count="256" uniqueCount="51">
  <si>
    <t xml:space="preserve"> </t>
  </si>
  <si>
    <t>Salesperson</t>
  </si>
  <si>
    <t>Date</t>
  </si>
  <si>
    <t>ID Number</t>
  </si>
  <si>
    <t>Commission</t>
  </si>
  <si>
    <t>Sale Amount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</si>
  <si>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</si>
  <si>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</si>
  <si>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</si>
  <si>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</si>
  <si>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</si>
  <si>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</si>
  <si>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</si>
  <si>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</si>
  <si>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</si>
  <si>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</si>
  <si>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</si>
  <si>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</si>
  <si>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</si>
  <si>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</si>
  <si>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</si>
  <si>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</si>
  <si>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</si>
  <si>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</si>
  <si>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</si>
  <si>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</si>
  <si>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</si>
  <si>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</si>
  <si>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Vlookup</t>
  </si>
  <si>
    <t>Xlookup</t>
  </si>
  <si>
    <t>Commissions by Salesperson</t>
  </si>
  <si>
    <t>Figures in USD</t>
  </si>
  <si>
    <t>Year</t>
  </si>
  <si>
    <t>Sum &amp; Filter</t>
  </si>
  <si>
    <t>Nike Inc.</t>
  </si>
  <si>
    <t>Coca-Cola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</si>
  <si>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</si>
  <si>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</si>
  <si>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</si>
  <si>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</si>
  <si>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</si>
  <si>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</si>
  <si>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</si>
  <si>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Name</t>
  </si>
  <si>
    <t>Company</t>
  </si>
  <si>
    <t>Ralph Lauren Int.</t>
  </si>
  <si>
    <t>Adidas Co.</t>
  </si>
  <si>
    <t>P&amp;G Global</t>
  </si>
  <si>
    <t>Nike</t>
  </si>
  <si>
    <t>kenji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</si>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</sst>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165" fontId="0" fillId="0" borderId="0" xfId="0" applyNumberFormat="1"/>
    <xf numFmtId="0" fontId="2" fillId="2" borderId="0" xfId="0" applyFont="1" applyFill="1" applyAlignment="1">
      <alignment horizontal="center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topLeftCell="B1" zoomScale="99" workbookViewId="0">
      <selection activeCell="H5" sqref="H5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</cols>
  <sheetData>
    <row r="1" spans="1:9" x14ac:dyDescent="0.3">
      <c r="A1" t="s">
        <v>0</v>
      </c>
    </row>
    <row r="2" spans="1:9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4</v>
      </c>
    </row>
    <row r="3" spans="1:9" x14ac:dyDescent="0.3">
      <c r="B3" t="s">
        <v>19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20</v>
      </c>
      <c r="I3" s="2">
        <f>VLOOKUP(H3,B3:F24,5,FALSE)</f>
        <v>1239.48324</v>
      </c>
    </row>
    <row r="4" spans="1:9" x14ac:dyDescent="0.3">
      <c r="B4" t="s">
        <v>20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  <c r="H4" t="s">
        <v>6</v>
      </c>
      <c r="I4" s="2">
        <f>VLOOKUP(H4,B4:F25,5,FALSE)</f>
        <v>651.21797070000002</v>
      </c>
    </row>
    <row r="5" spans="1:9" x14ac:dyDescent="0.3">
      <c r="B5" t="s">
        <v>21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  <c r="H5" t="s">
        <v>12</v>
      </c>
      <c r="I5" s="2">
        <f>VLOOKUP(H5,B5:F26,5,FALSE)</f>
        <v>1153.6723593912636</v>
      </c>
    </row>
    <row r="6" spans="1:9" x14ac:dyDescent="0.3">
      <c r="B6" t="s">
        <v>22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3">
      <c r="B7" t="s">
        <v>23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3">
      <c r="B8" t="s">
        <v>24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3">
      <c r="B9" t="s">
        <v>25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3">
      <c r="B10" t="s">
        <v>26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3">
      <c r="B11" t="s">
        <v>27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3">
      <c r="B12" t="s">
        <v>6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3">
      <c r="B13" t="s">
        <v>7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3">
      <c r="B14" t="s">
        <v>8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3">
      <c r="B15" t="s">
        <v>9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3">
      <c r="B16" t="s">
        <v>10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3">
      <c r="B17" t="s">
        <v>11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3">
      <c r="B18" t="s">
        <v>12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3">
      <c r="B19" t="s">
        <v>13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3">
      <c r="B20" t="s">
        <v>14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3">
      <c r="B21" t="s">
        <v>15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3">
      <c r="B22" t="s">
        <v>16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3">
      <c r="B23" t="s">
        <v>17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3">
      <c r="B24" t="s">
        <v>18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10"/>
  <sheetViews>
    <sheetView showGridLines="0" workbookViewId="0">
      <selection activeCell="C11" sqref="C11"/>
    </sheetView>
  </sheetViews>
  <sheetFormatPr defaultColWidth="10.59765625" defaultRowHeight="15.6" x14ac:dyDescent="0.3"/>
  <cols>
    <col min="2" max="2" width="11.59765625" bestFit="1" customWidth="1"/>
  </cols>
  <sheetData>
    <row r="2" spans="2:24" x14ac:dyDescent="0.3">
      <c r="B2" s="9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2:24" x14ac:dyDescent="0.3">
      <c r="B3" s="9" t="s">
        <v>3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3">
      <c r="B4" s="9" t="s">
        <v>2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3">
      <c r="B5" s="9" t="s">
        <v>5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3">
      <c r="B6" s="9" t="s">
        <v>4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3">
      <c r="B8" s="9" t="s">
        <v>1</v>
      </c>
      <c r="C8" s="9" t="s">
        <v>4</v>
      </c>
    </row>
    <row r="9" spans="2:24" x14ac:dyDescent="0.3">
      <c r="B9" t="s">
        <v>20</v>
      </c>
      <c r="C9" s="2">
        <f>HLOOKUP(B9,C2:X6,5,FALSE)</f>
        <v>1239.48324</v>
      </c>
    </row>
    <row r="10" spans="2:24" x14ac:dyDescent="0.3">
      <c r="B10" t="s">
        <v>24</v>
      </c>
      <c r="C10" s="2">
        <f>HLOOKUP(B10,C2:X6,5,FALSE)</f>
        <v>2093.4378113477173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topLeftCell="A2" zoomScale="84" zoomScaleNormal="85" workbookViewId="0">
      <selection activeCell="H11" sqref="H11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15" t="s">
        <v>28</v>
      </c>
      <c r="I2" s="15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15" t="s">
        <v>29</v>
      </c>
      <c r="I6" s="15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_xlfn.XLOOKUP(H8,F3:F24,E3:E24)</f>
        <v>1239.48324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  <c r="H9" t="s">
        <v>49</v>
      </c>
      <c r="I9" s="2" t="str">
        <f>_xlfn.XLOOKUP(H9,F4:F25,E4:E25,"not in the list")</f>
        <v>not in the list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topLeftCell="B1" workbookViewId="0">
      <selection activeCell="I8" sqref="I8"/>
    </sheetView>
  </sheetViews>
  <sheetFormatPr defaultColWidth="10.59765625" defaultRowHeight="15.6" x14ac:dyDescent="0.3"/>
  <cols>
    <col min="4" max="4" width="11.59765625" bestFit="1" customWidth="1"/>
    <col min="5" max="5" width="11.09765625" bestFit="1" customWidth="1"/>
    <col min="6" max="6" width="15.5" bestFit="1" customWidth="1"/>
    <col min="7" max="7" width="6.8984375" customWidth="1"/>
    <col min="9" max="9" width="12.3984375" bestFit="1" customWidth="1"/>
    <col min="10" max="10" width="8.09765625" customWidth="1"/>
  </cols>
  <sheetData>
    <row r="1" spans="1:9" x14ac:dyDescent="0.3">
      <c r="A1" t="s">
        <v>0</v>
      </c>
    </row>
    <row r="2" spans="1:9" x14ac:dyDescent="0.3">
      <c r="B2" s="8" t="s">
        <v>3</v>
      </c>
      <c r="C2" s="8" t="s">
        <v>2</v>
      </c>
      <c r="D2" s="8" t="s">
        <v>5</v>
      </c>
      <c r="E2" s="8" t="s">
        <v>4</v>
      </c>
      <c r="F2" s="8" t="s">
        <v>1</v>
      </c>
      <c r="H2" s="15" t="s">
        <v>28</v>
      </c>
      <c r="I2" s="15"/>
    </row>
    <row r="3" spans="1:9" x14ac:dyDescent="0.3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19</v>
      </c>
      <c r="H3" s="5" t="s">
        <v>1</v>
      </c>
      <c r="I3" s="5" t="s">
        <v>4</v>
      </c>
    </row>
    <row r="4" spans="1:9" x14ac:dyDescent="0.3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20</v>
      </c>
      <c r="H4" t="s">
        <v>20</v>
      </c>
      <c r="I4" s="2" t="e">
        <f>VLOOKUP(H4,B3:F24,-1,FALSE)</f>
        <v>#N/A</v>
      </c>
    </row>
    <row r="5" spans="1:9" x14ac:dyDescent="0.3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21</v>
      </c>
    </row>
    <row r="6" spans="1:9" x14ac:dyDescent="0.3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22</v>
      </c>
      <c r="H6" s="15" t="s">
        <v>29</v>
      </c>
      <c r="I6" s="15"/>
    </row>
    <row r="7" spans="1:9" x14ac:dyDescent="0.3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23</v>
      </c>
      <c r="H7" s="5" t="s">
        <v>1</v>
      </c>
      <c r="I7" s="5" t="s">
        <v>4</v>
      </c>
    </row>
    <row r="8" spans="1:9" x14ac:dyDescent="0.3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24</v>
      </c>
      <c r="H8" t="s">
        <v>20</v>
      </c>
      <c r="I8" s="2">
        <f>_xlfn.XLOOKUP(H8,F3:F24,E3:E24,)</f>
        <v>1239.48324</v>
      </c>
    </row>
    <row r="9" spans="1:9" x14ac:dyDescent="0.3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25</v>
      </c>
    </row>
    <row r="10" spans="1:9" x14ac:dyDescent="0.3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26</v>
      </c>
    </row>
    <row r="11" spans="1:9" x14ac:dyDescent="0.3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27</v>
      </c>
    </row>
    <row r="12" spans="1:9" x14ac:dyDescent="0.3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6</v>
      </c>
    </row>
    <row r="13" spans="1:9" x14ac:dyDescent="0.3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7</v>
      </c>
    </row>
    <row r="14" spans="1:9" x14ac:dyDescent="0.3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8</v>
      </c>
    </row>
    <row r="15" spans="1:9" x14ac:dyDescent="0.3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9</v>
      </c>
    </row>
    <row r="16" spans="1:9" x14ac:dyDescent="0.3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10</v>
      </c>
    </row>
    <row r="17" spans="2:6" x14ac:dyDescent="0.3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11</v>
      </c>
    </row>
    <row r="18" spans="2:6" x14ac:dyDescent="0.3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12</v>
      </c>
    </row>
    <row r="19" spans="2:6" x14ac:dyDescent="0.3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13</v>
      </c>
    </row>
    <row r="20" spans="2:6" x14ac:dyDescent="0.3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14</v>
      </c>
    </row>
    <row r="21" spans="2:6" x14ac:dyDescent="0.3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15</v>
      </c>
    </row>
    <row r="22" spans="2:6" x14ac:dyDescent="0.3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16</v>
      </c>
    </row>
    <row r="23" spans="2:6" x14ac:dyDescent="0.3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17</v>
      </c>
    </row>
    <row r="24" spans="2:6" x14ac:dyDescent="0.3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18</v>
      </c>
    </row>
    <row r="25" spans="2:6" x14ac:dyDescent="0.3">
      <c r="C25" s="3"/>
    </row>
    <row r="26" spans="2:6" x14ac:dyDescent="0.3">
      <c r="C26" s="3"/>
    </row>
    <row r="27" spans="2:6" x14ac:dyDescent="0.3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topLeftCell="B1" zoomScale="66" workbookViewId="0">
      <selection activeCell="I9" sqref="I9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8" t="s">
        <v>1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1</v>
      </c>
      <c r="I2" s="8" t="s">
        <v>5</v>
      </c>
      <c r="J2" s="8" t="s">
        <v>4</v>
      </c>
    </row>
    <row r="3" spans="1:10" x14ac:dyDescent="0.3">
      <c r="B3" t="s">
        <v>19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20</v>
      </c>
      <c r="I3" s="2" cm="1">
        <f t="array" ref="I3:J3">_xlfn.XLOOKUP(H3,B3:B24,E3:F24,)</f>
        <v>6197.4161999999997</v>
      </c>
      <c r="J3" s="2">
        <v>1239.48324</v>
      </c>
    </row>
    <row r="4" spans="1:10" x14ac:dyDescent="0.3">
      <c r="B4" t="s">
        <v>20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  <c r="H4" t="s">
        <v>24</v>
      </c>
      <c r="I4" s="2" cm="1">
        <f t="array" ref="I4:J4">_xlfn.XLOOKUP(H4,B4:B25,E4:F25,)</f>
        <v>10467.189056738587</v>
      </c>
      <c r="J4" s="2">
        <v>2093.4378113477173</v>
      </c>
    </row>
    <row r="5" spans="1:10" x14ac:dyDescent="0.3">
      <c r="B5" t="s">
        <v>21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3">
      <c r="B6" t="s">
        <v>22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3">
      <c r="B7" t="s">
        <v>23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3">
      <c r="B8" t="s">
        <v>24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3">
      <c r="B9" t="s">
        <v>25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3">
      <c r="B10" t="s">
        <v>26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3">
      <c r="B11" t="s">
        <v>27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3">
      <c r="B12" t="s">
        <v>6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3">
      <c r="B13" t="s">
        <v>7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3">
      <c r="B14" t="s">
        <v>8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3">
      <c r="B15" t="s">
        <v>9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3">
      <c r="B16" t="s">
        <v>10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3">
      <c r="B17" t="s">
        <v>11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3">
      <c r="B18" t="s">
        <v>12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3">
      <c r="B19" t="s">
        <v>13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3">
      <c r="B20" t="s">
        <v>14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3">
      <c r="B21" t="s">
        <v>15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3">
      <c r="B22" t="s">
        <v>16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3">
      <c r="B23" t="s">
        <v>17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3">
      <c r="B24" t="s">
        <v>18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3">
      <c r="D25" s="3"/>
    </row>
    <row r="26" spans="2:6" x14ac:dyDescent="0.3">
      <c r="D26" s="3"/>
    </row>
    <row r="27" spans="2:6" x14ac:dyDescent="0.3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topLeftCell="B1" workbookViewId="0">
      <selection activeCell="H4" sqref="H4"/>
    </sheetView>
  </sheetViews>
  <sheetFormatPr defaultColWidth="10.59765625" defaultRowHeight="15.6" x14ac:dyDescent="0.3"/>
  <cols>
    <col min="2" max="2" width="17.09765625" customWidth="1"/>
    <col min="5" max="5" width="11.59765625" bestFit="1" customWidth="1"/>
    <col min="6" max="6" width="11.09765625" bestFit="1" customWidth="1"/>
    <col min="7" max="7" width="6.8984375" customWidth="1"/>
    <col min="9" max="9" width="16.5" bestFit="1" customWidth="1"/>
  </cols>
  <sheetData>
    <row r="1" spans="1:9" x14ac:dyDescent="0.3">
      <c r="A1" t="s">
        <v>0</v>
      </c>
    </row>
    <row r="2" spans="1:9" x14ac:dyDescent="0.3">
      <c r="B2" s="8" t="s">
        <v>44</v>
      </c>
      <c r="C2" s="8" t="s">
        <v>3</v>
      </c>
      <c r="D2" s="8" t="s">
        <v>2</v>
      </c>
      <c r="E2" s="8" t="s">
        <v>5</v>
      </c>
      <c r="F2" s="8" t="s">
        <v>4</v>
      </c>
      <c r="H2" s="8" t="s">
        <v>43</v>
      </c>
      <c r="I2" s="8" t="s">
        <v>5</v>
      </c>
    </row>
    <row r="3" spans="1:9" x14ac:dyDescent="0.3">
      <c r="B3" s="11" t="s">
        <v>35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48</v>
      </c>
      <c r="I3" s="10">
        <f>_xlfn.XLOOKUP(H3&amp;"*",B3:B14,E3:E14,,2)</f>
        <v>6197.4161999999997</v>
      </c>
    </row>
    <row r="4" spans="1:9" x14ac:dyDescent="0.3">
      <c r="B4" s="11" t="s">
        <v>34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  <c r="H4" t="s">
        <v>50</v>
      </c>
      <c r="I4" s="10">
        <f>_xlfn.XLOOKUP(H4&amp;"*",B4:B15,E4:E15,,2)</f>
        <v>2690.9833500000004</v>
      </c>
    </row>
    <row r="5" spans="1:9" x14ac:dyDescent="0.3">
      <c r="B5" s="11" t="s">
        <v>36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3">
      <c r="B6" s="11" t="s">
        <v>37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3">
      <c r="B7" s="11" t="s">
        <v>38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3">
      <c r="B8" s="11" t="s">
        <v>39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3">
      <c r="B9" s="11" t="s">
        <v>40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3">
      <c r="B10" s="11" t="s">
        <v>41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3">
      <c r="B11" s="11" t="s">
        <v>42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3">
      <c r="B12" s="11" t="s">
        <v>45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3">
      <c r="B13" s="11" t="s">
        <v>46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3">
      <c r="B14" s="11" t="s">
        <v>47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3">
      <c r="B15" s="11"/>
      <c r="C15" s="10"/>
      <c r="D15" s="10"/>
      <c r="E15" s="10"/>
      <c r="F15" s="10"/>
    </row>
    <row r="16" spans="1:9" x14ac:dyDescent="0.3">
      <c r="B16" s="11"/>
      <c r="C16" s="10"/>
      <c r="D16" s="10"/>
      <c r="E16" s="10"/>
      <c r="F16" s="10"/>
    </row>
    <row r="17" spans="2:6" x14ac:dyDescent="0.3">
      <c r="B17" s="11"/>
      <c r="C17" s="10"/>
      <c r="D17" s="10"/>
      <c r="E17" s="10"/>
      <c r="F17" s="10"/>
    </row>
    <row r="18" spans="2:6" x14ac:dyDescent="0.3">
      <c r="B18" s="11"/>
      <c r="C18" s="10"/>
      <c r="D18" s="10"/>
      <c r="E18" s="10"/>
      <c r="F18" s="10"/>
    </row>
    <row r="19" spans="2:6" x14ac:dyDescent="0.3">
      <c r="B19" s="11"/>
      <c r="C19" s="10"/>
      <c r="D19" s="10"/>
      <c r="E19" s="10"/>
      <c r="F19" s="10"/>
    </row>
    <row r="20" spans="2:6" x14ac:dyDescent="0.3">
      <c r="B20" s="11"/>
      <c r="C20" s="10"/>
      <c r="D20" s="10"/>
      <c r="E20" s="10"/>
      <c r="F20" s="10"/>
    </row>
    <row r="21" spans="2:6" x14ac:dyDescent="0.3">
      <c r="B21" s="11"/>
      <c r="C21" s="10"/>
      <c r="D21" s="10"/>
      <c r="E21" s="10"/>
      <c r="F21" s="10"/>
    </row>
    <row r="22" spans="2:6" x14ac:dyDescent="0.3">
      <c r="B22" s="11"/>
      <c r="C22" s="10"/>
      <c r="D22" s="10"/>
      <c r="E22" s="10"/>
      <c r="F22" s="10"/>
    </row>
    <row r="23" spans="2:6" x14ac:dyDescent="0.3">
      <c r="B23" s="11"/>
      <c r="C23" s="10"/>
      <c r="D23" s="10"/>
      <c r="E23" s="10"/>
      <c r="F23" s="10"/>
    </row>
    <row r="24" spans="2:6" x14ac:dyDescent="0.3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topLeftCell="B1" zoomScale="73" workbookViewId="0">
      <selection activeCell="B35" sqref="B35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0" x14ac:dyDescent="0.3">
      <c r="A1" t="s">
        <v>0</v>
      </c>
    </row>
    <row r="2" spans="1:10" x14ac:dyDescent="0.3">
      <c r="B2" s="15" t="s">
        <v>30</v>
      </c>
      <c r="C2" s="15"/>
      <c r="D2" s="15"/>
      <c r="E2" s="15"/>
      <c r="F2" s="15"/>
      <c r="H2" s="8" t="s">
        <v>1</v>
      </c>
      <c r="I2" s="8" t="s">
        <v>32</v>
      </c>
      <c r="J2" s="8" t="s">
        <v>4</v>
      </c>
    </row>
    <row r="3" spans="1:10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4" t="s">
        <v>20</v>
      </c>
      <c r="I3" s="4">
        <v>2020</v>
      </c>
      <c r="J3" s="10" cm="1">
        <f t="array" ref="J3">_xlfn.XLOOKUP(H3,B4:B25,_xlfn.XLOOKUP(I3,C3:F3,C4:F25))</f>
        <v>1425.405726</v>
      </c>
    </row>
    <row r="4" spans="1:10" x14ac:dyDescent="0.3">
      <c r="B4" s="11" t="s">
        <v>19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H4" s="11"/>
      <c r="I4" s="4"/>
      <c r="J4" s="10"/>
    </row>
    <row r="5" spans="1:10" x14ac:dyDescent="0.3">
      <c r="B5" s="11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0" x14ac:dyDescent="0.3">
      <c r="B6" s="11" t="s">
        <v>21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3">
      <c r="B7" s="11" t="s">
        <v>22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3">
      <c r="B8" s="11" t="s">
        <v>23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3">
      <c r="B9" s="11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3">
      <c r="B10" s="11" t="s">
        <v>25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3">
      <c r="B11" s="11" t="s">
        <v>26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3">
      <c r="B12" s="11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3">
      <c r="B13" s="11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3">
      <c r="B14" s="11" t="s">
        <v>7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3">
      <c r="B15" s="11" t="s">
        <v>8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3">
      <c r="B16" s="11" t="s">
        <v>9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s="11" t="s">
        <v>10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s="11" t="s">
        <v>11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s="11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s="11" t="s">
        <v>13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s="11" t="s">
        <v>14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s="11" t="s">
        <v>15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s="11" t="s">
        <v>16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s="11" t="s">
        <v>17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s="11" t="s">
        <v>18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328F-26FA-5047-A452-389F261A909B}">
  <dimension ref="A1:K25"/>
  <sheetViews>
    <sheetView showGridLines="0" tabSelected="1" topLeftCell="C2" zoomScale="85" workbookViewId="0">
      <selection activeCell="I9" sqref="I9"/>
    </sheetView>
  </sheetViews>
  <sheetFormatPr defaultColWidth="10.59765625" defaultRowHeight="15.6" x14ac:dyDescent="0.3"/>
  <cols>
    <col min="2" max="2" width="15.5" bestFit="1" customWidth="1"/>
    <col min="5" max="5" width="11.59765625" bestFit="1" customWidth="1"/>
    <col min="6" max="6" width="11.09765625" bestFit="1" customWidth="1"/>
    <col min="7" max="7" width="6.8984375" customWidth="1"/>
    <col min="9" max="9" width="12.3984375" bestFit="1" customWidth="1"/>
    <col min="10" max="10" width="11.09765625" bestFit="1" customWidth="1"/>
  </cols>
  <sheetData>
    <row r="1" spans="1:11" x14ac:dyDescent="0.3">
      <c r="A1" t="s">
        <v>0</v>
      </c>
    </row>
    <row r="2" spans="1:11" x14ac:dyDescent="0.3">
      <c r="B2" s="15" t="s">
        <v>30</v>
      </c>
      <c r="C2" s="15"/>
      <c r="D2" s="15"/>
      <c r="E2" s="15"/>
      <c r="F2" s="15"/>
      <c r="H2" s="15" t="s">
        <v>29</v>
      </c>
      <c r="I2" s="15"/>
      <c r="J2" s="15"/>
    </row>
    <row r="3" spans="1:11" x14ac:dyDescent="0.3">
      <c r="B3" s="12" t="s">
        <v>31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3" t="s">
        <v>1</v>
      </c>
      <c r="I3" s="13" t="s">
        <v>32</v>
      </c>
      <c r="J3" s="13" t="s">
        <v>4</v>
      </c>
    </row>
    <row r="4" spans="1:11" x14ac:dyDescent="0.3">
      <c r="B4" t="s">
        <v>20</v>
      </c>
      <c r="C4" s="10">
        <v>1087.2660000000001</v>
      </c>
      <c r="D4" s="10">
        <v>1250.3559</v>
      </c>
      <c r="E4" s="10">
        <v>1187.838105</v>
      </c>
      <c r="F4" s="10">
        <v>1413.52734495</v>
      </c>
      <c r="H4" s="4" t="s">
        <v>20</v>
      </c>
      <c r="I4" s="4">
        <v>2019</v>
      </c>
      <c r="J4" s="10" cm="1">
        <f t="array" ref="J4">_xlfn.XLOOKUP(H4,B4:B25,_xlfn.XLOOKUP(I4,C3:F3,C4:F25))</f>
        <v>1087.2660000000001</v>
      </c>
    </row>
    <row r="5" spans="1:11" x14ac:dyDescent="0.3">
      <c r="B5" t="s">
        <v>20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1" x14ac:dyDescent="0.3">
      <c r="B6" t="s">
        <v>20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  <c r="H6" s="15" t="s">
        <v>33</v>
      </c>
      <c r="I6" s="15"/>
      <c r="J6" s="15"/>
    </row>
    <row r="7" spans="1:11" x14ac:dyDescent="0.3">
      <c r="B7" t="s">
        <v>20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  <c r="H7" s="13" t="s">
        <v>1</v>
      </c>
      <c r="I7" s="13" t="s">
        <v>32</v>
      </c>
      <c r="J7" s="13" t="s">
        <v>4</v>
      </c>
    </row>
    <row r="8" spans="1:11" x14ac:dyDescent="0.3">
      <c r="B8" t="s">
        <v>21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  <c r="H8" s="4" t="s">
        <v>20</v>
      </c>
      <c r="I8" s="4">
        <v>2022</v>
      </c>
      <c r="J8" s="10" cm="1">
        <f t="array" ref="J8">SUM(_xlfn._xlws.FILTER(_xlfn._xlws.FILTER(C4:F25,B4:B25=H8),C3:F3=I8))</f>
        <v>6956.1716124366212</v>
      </c>
      <c r="K8" s="14"/>
    </row>
    <row r="9" spans="1:11" x14ac:dyDescent="0.3">
      <c r="B9" t="s">
        <v>24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1" x14ac:dyDescent="0.3">
      <c r="B10" t="s">
        <v>24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1" x14ac:dyDescent="0.3">
      <c r="B11" t="s">
        <v>24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1" x14ac:dyDescent="0.3">
      <c r="B12" t="s">
        <v>27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1" x14ac:dyDescent="0.3">
      <c r="B13" t="s">
        <v>6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1" x14ac:dyDescent="0.3">
      <c r="B14" t="s">
        <v>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1" x14ac:dyDescent="0.3">
      <c r="B15" t="s">
        <v>6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1" x14ac:dyDescent="0.3">
      <c r="B16" t="s">
        <v>6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3">
      <c r="B17" t="s">
        <v>6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3">
      <c r="B18" t="s">
        <v>6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3">
      <c r="B19" t="s">
        <v>12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3">
      <c r="B20" t="s">
        <v>12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3">
      <c r="B21" t="s">
        <v>12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3">
      <c r="B22" t="s">
        <v>12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3">
      <c r="B23" t="s">
        <v>12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3">
      <c r="B24" t="s">
        <v>12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3">
      <c r="B25" t="s">
        <v>12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3">
    <mergeCell ref="B2:F2"/>
    <mergeCell ref="H2:J2"/>
    <mergeCell ref="H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</vt:lpstr>
      <vt:lpstr>Hlookup</vt:lpstr>
      <vt:lpstr>Xlookup</vt:lpstr>
      <vt:lpstr>Xlookup 2</vt:lpstr>
      <vt:lpstr>Xlookup 3</vt:lpstr>
      <vt:lpstr>Xlookup 4</vt:lpstr>
      <vt:lpstr>Xlookup 5</vt:lpstr>
      <vt:lpstr>SumFilter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cp:lastPrinted>2026-01-27T13:06:51Z</cp:lastPrinted>
  <dcterms:created xsi:type="dcterms:W3CDTF">2022-08-01T09:40:24Z</dcterms:created>
  <dcterms:modified xsi:type="dcterms:W3CDTF">2026-01-27T13:29:14Z</dcterms:modified>
</cp:coreProperties>
</file>