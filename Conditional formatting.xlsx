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39" documentId="8_{5ED300CA-3797-4CED-9A69-254218AF3DC8}" xr6:coauthVersionLast="47" xr6:coauthVersionMax="47" xr10:uidLastSave="{2B607011-E7B0-44EB-9B79-2C1DD0D5C3FC}"/>
  <bookViews>
    <workbookView xWindow="11424" yWindow="0" windowWidth="11712" windowHeight="12336" xr2:uid="{BF2E566C-C60B-4A43-8572-FA5FEC60B12C}"/>
  </bookViews>
  <sheets>
    <sheet name="Pt1" sheetId="12" r:id="rId1"/>
    <sheet name="Pt2" sheetId="6" r:id="rId2"/>
    <sheet name="Pt3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2" l="1"/>
  <c r="F13" i="6"/>
  <c r="F12" i="6"/>
  <c r="F11" i="6"/>
  <c r="F10" i="6"/>
  <c r="F9" i="6"/>
  <c r="F8" i="6"/>
  <c r="F7" i="6"/>
  <c r="F6" i="6"/>
  <c r="F5" i="6"/>
  <c r="F4" i="6"/>
  <c r="F3" i="6"/>
  <c r="C14" i="12"/>
  <c r="C15" i="12" s="1"/>
  <c r="C16" i="12" s="1"/>
  <c r="C17" i="12" s="1"/>
  <c r="C18" i="12" s="1"/>
  <c r="C19" i="12" s="1"/>
  <c r="C12" i="12"/>
  <c r="C8" i="12"/>
  <c r="C29" i="12"/>
  <c r="C28" i="12" s="1"/>
  <c r="C31" i="12"/>
  <c r="C4" i="12"/>
  <c r="D2" i="13"/>
  <c r="E2" i="13" s="1"/>
  <c r="F2" i="13" s="1"/>
  <c r="G2" i="13" s="1"/>
  <c r="H2" i="13" s="1"/>
  <c r="I2" i="13" s="1"/>
  <c r="C12" i="13"/>
  <c r="D11" i="13"/>
  <c r="E11" i="13" s="1"/>
  <c r="F11" i="13" s="1"/>
  <c r="G11" i="13" s="1"/>
  <c r="H11" i="13" s="1"/>
  <c r="I11" i="13" s="1"/>
  <c r="I10" i="13"/>
  <c r="D10" i="13"/>
  <c r="I9" i="13"/>
  <c r="D9" i="13"/>
  <c r="D8" i="13"/>
  <c r="E8" i="13" s="1"/>
  <c r="F8" i="13" s="1"/>
  <c r="G8" i="13" s="1"/>
  <c r="H8" i="13" s="1"/>
  <c r="I8" i="13" s="1"/>
  <c r="D7" i="13"/>
  <c r="E7" i="13" s="1"/>
  <c r="F7" i="13" s="1"/>
  <c r="G7" i="13" s="1"/>
  <c r="H7" i="13" s="1"/>
  <c r="I7" i="13" s="1"/>
  <c r="D6" i="13"/>
  <c r="E6" i="13" s="1"/>
  <c r="F6" i="13" s="1"/>
  <c r="G6" i="13" s="1"/>
  <c r="H6" i="13" s="1"/>
  <c r="I6" i="13" s="1"/>
  <c r="D5" i="13"/>
  <c r="E5" i="13" s="1"/>
  <c r="D3" i="13"/>
  <c r="E3" i="13" s="1"/>
  <c r="D12" i="13" l="1"/>
  <c r="I5" i="13"/>
  <c r="C27" i="12"/>
  <c r="C26" i="12" s="1"/>
  <c r="C20" i="12"/>
  <c r="F5" i="13"/>
  <c r="F3" i="13"/>
  <c r="E9" i="13"/>
  <c r="E10" i="13"/>
  <c r="E12" i="13" l="1"/>
  <c r="C25" i="12"/>
  <c r="C23" i="12"/>
  <c r="G5" i="13"/>
  <c r="F10" i="13"/>
  <c r="F9" i="13"/>
  <c r="G3" i="13"/>
  <c r="F12" i="13"/>
  <c r="C24" i="12" l="1"/>
  <c r="C22" i="12"/>
  <c r="G9" i="13"/>
  <c r="G10" i="13"/>
  <c r="H5" i="13"/>
  <c r="G12" i="13"/>
  <c r="H3" i="13"/>
  <c r="I3" i="13" l="1"/>
  <c r="H10" i="13"/>
  <c r="H9" i="13"/>
  <c r="H12" i="13" l="1"/>
  <c r="I12" i="13"/>
</calcChain>
</file>

<file path=xl/sharedStrings.xml><?xml version="1.0" encoding="utf-8"?>
<sst xmlns="http://schemas.openxmlformats.org/spreadsheetml/2006/main" count="145" uniqueCount="87">
  <si>
    <t>Revenue</t>
  </si>
  <si>
    <t>Name</t>
  </si>
  <si>
    <t>Lucia Mckay</t>
  </si>
  <si>
    <t>Department</t>
  </si>
  <si>
    <t>Sales</t>
  </si>
  <si>
    <t>Bill</t>
  </si>
  <si>
    <t>Mike</t>
  </si>
  <si>
    <t>Sarah</t>
  </si>
  <si>
    <t>Jane</t>
  </si>
  <si>
    <t>Andrew</t>
  </si>
  <si>
    <t>Jenny</t>
  </si>
  <si>
    <t>Jeff</t>
  </si>
  <si>
    <t>Tom</t>
  </si>
  <si>
    <t>Lana</t>
  </si>
  <si>
    <t>Jack</t>
  </si>
  <si>
    <t>Mila</t>
  </si>
  <si>
    <t>Marketing</t>
  </si>
  <si>
    <t>Tech</t>
  </si>
  <si>
    <t>Design</t>
  </si>
  <si>
    <t>Kennedi Singh</t>
  </si>
  <si>
    <t>Ivan Hines</t>
  </si>
  <si>
    <t>Jonah Higgins</t>
  </si>
  <si>
    <t>Brendan Walls</t>
  </si>
  <si>
    <t>Order ID</t>
  </si>
  <si>
    <t>Gender</t>
  </si>
  <si>
    <t>Country</t>
  </si>
  <si>
    <t>Units</t>
  </si>
  <si>
    <t>Female</t>
  </si>
  <si>
    <t>FR</t>
  </si>
  <si>
    <t>IT</t>
  </si>
  <si>
    <t>Male</t>
  </si>
  <si>
    <t>UK</t>
  </si>
  <si>
    <t>JP</t>
  </si>
  <si>
    <t>ES</t>
  </si>
  <si>
    <t>US</t>
  </si>
  <si>
    <t>Janet Murphy</t>
  </si>
  <si>
    <t>Janice Clark</t>
  </si>
  <si>
    <t>Charlotte Walker</t>
  </si>
  <si>
    <t>Natalie Robinson</t>
  </si>
  <si>
    <t>Doris Nguyen</t>
  </si>
  <si>
    <t>Keith Roberts</t>
  </si>
  <si>
    <t>Kelly Jones</t>
  </si>
  <si>
    <t>Joseph Mitchell</t>
  </si>
  <si>
    <t>Steven Simpson</t>
  </si>
  <si>
    <t>Kenneth Anderson</t>
  </si>
  <si>
    <t>Nicholas Gerrard</t>
  </si>
  <si>
    <t>Judith Lopez</t>
  </si>
  <si>
    <t>Hannah Garcia</t>
  </si>
  <si>
    <t>Marilyn Allen</t>
  </si>
  <si>
    <t>Carolyn Muir</t>
  </si>
  <si>
    <t>Teresa Jarris</t>
  </si>
  <si>
    <t>Beverly Young</t>
  </si>
  <si>
    <t>Brittany Hill</t>
  </si>
  <si>
    <t>Christian Carter</t>
  </si>
  <si>
    <t>Gary Sinclair</t>
  </si>
  <si>
    <t>Jaylynn Knapp</t>
  </si>
  <si>
    <t>Bryce Carpenter</t>
  </si>
  <si>
    <t>Michael Filson</t>
  </si>
  <si>
    <t>Thomas Clark</t>
  </si>
  <si>
    <t>Regional Sales</t>
  </si>
  <si>
    <t>Spain</t>
  </si>
  <si>
    <t>Italy</t>
  </si>
  <si>
    <t>France</t>
  </si>
  <si>
    <t>Portugal</t>
  </si>
  <si>
    <t>Belgium</t>
  </si>
  <si>
    <t>Holland</t>
  </si>
  <si>
    <t>Switzerland</t>
  </si>
  <si>
    <t>Austria</t>
  </si>
  <si>
    <t>Germany</t>
  </si>
  <si>
    <t>Total</t>
  </si>
  <si>
    <t>Due Date</t>
  </si>
  <si>
    <t>2023 Sales</t>
  </si>
  <si>
    <t>2024 Sales</t>
  </si>
  <si>
    <t>% Change</t>
  </si>
  <si>
    <t>highlight revenue&gt;=20 to orange</t>
  </si>
  <si>
    <t>goal</t>
  </si>
  <si>
    <t>I we change goal formatting will change</t>
  </si>
  <si>
    <t>top 10 revenue red text</t>
  </si>
  <si>
    <r>
      <t xml:space="preserve">Added </t>
    </r>
    <r>
      <rPr>
        <b/>
        <sz val="12"/>
        <color theme="1"/>
        <rFont val="Calibri"/>
        <family val="2"/>
        <scheme val="minor"/>
      </rPr>
      <t>Data Bars</t>
    </r>
    <r>
      <rPr>
        <sz val="12"/>
        <color theme="1"/>
        <rFont val="Calibri"/>
        <family val="2"/>
        <scheme val="minor"/>
      </rPr>
      <t xml:space="preserve"> to compare values clearly within the same dataset.</t>
    </r>
  </si>
  <si>
    <r>
      <t xml:space="preserve">Created </t>
    </r>
    <r>
      <rPr>
        <b/>
        <sz val="12"/>
        <color theme="1"/>
        <rFont val="Calibri"/>
        <family val="2"/>
        <scheme val="minor"/>
      </rPr>
      <t>Sparklines</t>
    </r>
    <r>
      <rPr>
        <sz val="12"/>
        <color theme="1"/>
        <rFont val="Calibri"/>
        <family val="2"/>
        <scheme val="minor"/>
      </rPr>
      <t xml:space="preserve"> to visualize trends over time within a single cell.</t>
    </r>
  </si>
  <si>
    <r>
      <t xml:space="preserve">Ensured all formatting updated </t>
    </r>
    <r>
      <rPr>
        <b/>
        <sz val="12"/>
        <color theme="1"/>
        <rFont val="Calibri"/>
        <family val="2"/>
        <scheme val="minor"/>
      </rPr>
      <t>automatically with data changes</t>
    </r>
    <r>
      <rPr>
        <sz val="12"/>
        <color theme="1"/>
        <rFont val="Calibri"/>
        <family val="2"/>
        <scheme val="minor"/>
      </rPr>
      <t xml:space="preserve"> to maintain data accuracy and clarity.</t>
    </r>
  </si>
  <si>
    <r>
      <t xml:space="preserve">Used </t>
    </r>
    <r>
      <rPr>
        <b/>
        <sz val="12"/>
        <color theme="1"/>
        <rFont val="Calibri"/>
        <family val="2"/>
        <scheme val="minor"/>
      </rPr>
      <t>Icon Sets</t>
    </r>
    <r>
      <rPr>
        <sz val="12"/>
        <color theme="1"/>
        <rFont val="Calibri"/>
        <family val="2"/>
        <scheme val="minor"/>
      </rPr>
      <t xml:space="preserve"> to visually represent positive and negative trends and adjusted rule types from percent to number.</t>
    </r>
  </si>
  <si>
    <r>
      <t xml:space="preserve">Used </t>
    </r>
    <r>
      <rPr>
        <b/>
        <sz val="12"/>
        <color theme="1"/>
        <rFont val="Calibri"/>
        <family val="2"/>
        <scheme val="minor"/>
      </rPr>
      <t>Highlight Cell Rules</t>
    </r>
    <r>
      <rPr>
        <sz val="12"/>
        <color theme="1"/>
        <rFont val="Calibri"/>
        <family val="2"/>
        <scheme val="minor"/>
      </rPr>
      <t xml:space="preserve"> (Greater Than, Equal To) and modified logic using </t>
    </r>
    <r>
      <rPr>
        <b/>
        <sz val="12"/>
        <color theme="1"/>
        <rFont val="Calibri"/>
        <family val="2"/>
        <scheme val="minor"/>
      </rPr>
      <t>Manage Rules</t>
    </r>
    <r>
      <rPr>
        <sz val="12"/>
        <color theme="1"/>
        <rFont val="Calibri"/>
        <family val="2"/>
        <scheme val="minor"/>
      </rPr>
      <t>.</t>
    </r>
  </si>
  <si>
    <r>
      <t xml:space="preserve">Created </t>
    </r>
    <r>
      <rPr>
        <b/>
        <sz val="12"/>
        <color theme="1"/>
        <rFont val="Calibri"/>
        <family val="2"/>
        <scheme val="minor"/>
      </rPr>
      <t>formula-based conditional formatting rules</t>
    </r>
    <r>
      <rPr>
        <sz val="12"/>
        <color theme="1"/>
        <rFont val="Calibri"/>
        <family val="2"/>
        <scheme val="minor"/>
      </rPr>
      <t xml:space="preserve"> to highlight </t>
    </r>
    <r>
      <rPr>
        <b/>
        <sz val="12"/>
        <color theme="1"/>
        <rFont val="Calibri"/>
        <family val="2"/>
        <scheme val="minor"/>
      </rPr>
      <t>entire rows</t>
    </r>
    <r>
      <rPr>
        <sz val="12"/>
        <color theme="1"/>
        <rFont val="Calibri"/>
        <family val="2"/>
        <scheme val="minor"/>
      </rPr>
      <t xml:space="preserve"> based on a single cell’s value.</t>
    </r>
  </si>
  <si>
    <r>
      <t xml:space="preserve">Used </t>
    </r>
    <r>
      <rPr>
        <b/>
        <sz val="12"/>
        <color theme="1"/>
        <rFont val="Calibri"/>
        <family val="2"/>
        <scheme val="minor"/>
      </rPr>
      <t>fixed column references ($Column)</t>
    </r>
    <r>
      <rPr>
        <sz val="12"/>
        <color theme="1"/>
        <rFont val="Calibri"/>
        <family val="2"/>
        <scheme val="minor"/>
      </rPr>
      <t xml:space="preserve"> to ensure rules applied correctly across rows.</t>
    </r>
  </si>
  <si>
    <r>
      <t xml:space="preserve">Linked formatting rules to a </t>
    </r>
    <r>
      <rPr>
        <b/>
        <sz val="12"/>
        <color theme="1"/>
        <rFont val="Calibri"/>
        <family val="2"/>
        <scheme val="minor"/>
      </rPr>
      <t>dynamic goal cell</t>
    </r>
    <r>
      <rPr>
        <sz val="12"/>
        <color theme="1"/>
        <rFont val="Calibri"/>
        <family val="2"/>
        <scheme val="minor"/>
      </rPr>
      <t>, allowing instant updates when target values changed.</t>
    </r>
  </si>
  <si>
    <r>
      <t xml:space="preserve">Implemented </t>
    </r>
    <r>
      <rPr>
        <b/>
        <sz val="12"/>
        <color theme="1"/>
        <rFont val="Calibri"/>
        <family val="2"/>
        <scheme val="minor"/>
      </rPr>
      <t>Top/Bottom rules</t>
    </r>
    <r>
      <rPr>
        <sz val="12"/>
        <color theme="1"/>
        <rFont val="Calibri"/>
        <family val="2"/>
        <scheme val="minor"/>
      </rPr>
      <t xml:space="preserve"> to identify top performers and key contributors.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</si>
</sst>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7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7" fontId="4" fillId="2" borderId="0" xfId="0" applyNumberFormat="1" applyFont="1" applyFill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5" fontId="3" fillId="0" borderId="0" xfId="1" applyNumberFormat="1" applyFon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</dxf>
    <dxf>
      <font>
        <color rgb="FF00610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103B-10E5-CA4B-AAE6-4760D8E30FB7}">
  <dimension ref="B2:J37"/>
  <sheetViews>
    <sheetView tabSelected="1" topLeftCell="A6" zoomScale="81" zoomScaleNormal="130" workbookViewId="0">
      <selection activeCell="B37" sqref="B37"/>
    </sheetView>
  </sheetViews>
  <sheetFormatPr defaultColWidth="10.69921875" defaultRowHeight="15.6"/>
  <cols>
    <col min="1" max="1" width="5.796875" customWidth="1"/>
    <col min="2" max="2" width="10.796875" style="2"/>
    <col min="3" max="3" width="10.5" style="2" customWidth="1"/>
    <col min="4" max="4" width="16" style="2" bestFit="1" customWidth="1"/>
    <col min="5" max="5" width="10.796875" style="2"/>
    <col min="6" max="6" width="8" style="2" customWidth="1"/>
    <col min="7" max="7" width="5.5" style="2" bestFit="1" customWidth="1"/>
    <col min="8" max="8" width="10.796875" style="2"/>
  </cols>
  <sheetData>
    <row r="2" spans="2:10">
      <c r="B2" s="10" t="s">
        <v>23</v>
      </c>
      <c r="C2" s="10" t="s">
        <v>70</v>
      </c>
      <c r="D2" s="10" t="s">
        <v>1</v>
      </c>
      <c r="E2" s="10" t="s">
        <v>24</v>
      </c>
      <c r="F2" s="10" t="s">
        <v>25</v>
      </c>
      <c r="G2" s="10" t="s">
        <v>26</v>
      </c>
      <c r="H2" s="10" t="s">
        <v>0</v>
      </c>
      <c r="J2" s="4"/>
    </row>
    <row r="3" spans="2:10">
      <c r="B3" s="2">
        <v>10507</v>
      </c>
      <c r="C3" s="8">
        <v>45335</v>
      </c>
      <c r="D3" s="1" t="s">
        <v>35</v>
      </c>
      <c r="E3" s="2" t="s">
        <v>27</v>
      </c>
      <c r="F3" s="2" t="s">
        <v>28</v>
      </c>
      <c r="G3" s="7">
        <v>91</v>
      </c>
      <c r="H3" s="3">
        <v>36400</v>
      </c>
      <c r="J3" s="4" t="s">
        <v>74</v>
      </c>
    </row>
    <row r="4" spans="2:10">
      <c r="B4" s="2">
        <v>10534</v>
      </c>
      <c r="C4" s="8">
        <f>C3+10</f>
        <v>45345</v>
      </c>
      <c r="D4" s="1" t="s">
        <v>36</v>
      </c>
      <c r="E4" s="2" t="s">
        <v>27</v>
      </c>
      <c r="F4" s="2" t="s">
        <v>29</v>
      </c>
      <c r="G4" s="7">
        <v>83.6</v>
      </c>
      <c r="H4" s="3">
        <v>33440</v>
      </c>
      <c r="J4" s="4"/>
    </row>
    <row r="5" spans="2:10">
      <c r="B5" s="2">
        <v>10537</v>
      </c>
      <c r="C5" s="8">
        <v>45336</v>
      </c>
      <c r="D5" s="1" t="s">
        <v>37</v>
      </c>
      <c r="E5" s="2" t="s">
        <v>27</v>
      </c>
      <c r="F5" s="2" t="s">
        <v>28</v>
      </c>
      <c r="G5" s="7">
        <v>83.6</v>
      </c>
      <c r="H5" s="3">
        <v>26752</v>
      </c>
      <c r="J5" t="s">
        <v>75</v>
      </c>
    </row>
    <row r="6" spans="2:10">
      <c r="B6" s="2">
        <v>10538</v>
      </c>
      <c r="C6" s="8">
        <v>45336</v>
      </c>
      <c r="D6" s="1" t="s">
        <v>38</v>
      </c>
      <c r="E6" s="2" t="s">
        <v>27</v>
      </c>
      <c r="F6" s="2" t="s">
        <v>28</v>
      </c>
      <c r="G6" s="7">
        <v>83.6</v>
      </c>
      <c r="H6" s="3">
        <v>10000</v>
      </c>
      <c r="J6">
        <v>30000</v>
      </c>
    </row>
    <row r="7" spans="2:10">
      <c r="B7" s="2">
        <v>10542</v>
      </c>
      <c r="C7" s="8">
        <v>45336</v>
      </c>
      <c r="D7" s="1" t="s">
        <v>39</v>
      </c>
      <c r="E7" s="2" t="s">
        <v>27</v>
      </c>
      <c r="F7" s="2" t="s">
        <v>29</v>
      </c>
      <c r="G7" s="7">
        <v>83.6</v>
      </c>
      <c r="H7" s="3">
        <v>33440</v>
      </c>
      <c r="J7" t="s">
        <v>76</v>
      </c>
    </row>
    <row r="8" spans="2:10">
      <c r="B8" s="2">
        <v>10547</v>
      </c>
      <c r="C8" s="8">
        <f>C7+20</f>
        <v>45356</v>
      </c>
      <c r="D8" s="1" t="s">
        <v>40</v>
      </c>
      <c r="E8" s="2" t="s">
        <v>30</v>
      </c>
      <c r="F8" s="2" t="s">
        <v>31</v>
      </c>
      <c r="G8" s="7">
        <v>83.6</v>
      </c>
      <c r="H8" s="3">
        <v>20900</v>
      </c>
    </row>
    <row r="9" spans="2:10">
      <c r="B9" s="2">
        <v>10485</v>
      </c>
      <c r="C9" s="8">
        <v>45356</v>
      </c>
      <c r="D9" s="1" t="s">
        <v>41</v>
      </c>
      <c r="E9" s="2" t="s">
        <v>27</v>
      </c>
      <c r="F9" s="2" t="s">
        <v>32</v>
      </c>
      <c r="G9" s="7">
        <v>82</v>
      </c>
      <c r="H9" s="3">
        <v>26240</v>
      </c>
      <c r="J9" t="s">
        <v>77</v>
      </c>
    </row>
    <row r="10" spans="2:10">
      <c r="B10" s="2">
        <v>10453</v>
      </c>
      <c r="C10" s="8">
        <v>45356</v>
      </c>
      <c r="D10" s="1" t="s">
        <v>19</v>
      </c>
      <c r="E10" s="2" t="s">
        <v>30</v>
      </c>
      <c r="F10" s="2" t="s">
        <v>33</v>
      </c>
      <c r="G10" s="7">
        <v>80</v>
      </c>
      <c r="H10" s="3">
        <v>20000</v>
      </c>
    </row>
    <row r="11" spans="2:10">
      <c r="B11" s="2">
        <v>10477</v>
      </c>
      <c r="C11" s="8">
        <v>45356</v>
      </c>
      <c r="D11" s="1" t="s">
        <v>42</v>
      </c>
      <c r="E11" s="2" t="s">
        <v>30</v>
      </c>
      <c r="F11" s="2" t="s">
        <v>28</v>
      </c>
      <c r="G11" s="7">
        <v>80</v>
      </c>
      <c r="H11" s="3">
        <v>12000</v>
      </c>
    </row>
    <row r="12" spans="2:10">
      <c r="B12" s="2">
        <v>10486</v>
      </c>
      <c r="C12" s="8">
        <f>C11+90</f>
        <v>45446</v>
      </c>
      <c r="D12" s="1" t="s">
        <v>43</v>
      </c>
      <c r="E12" s="2" t="s">
        <v>30</v>
      </c>
      <c r="F12" s="2" t="s">
        <v>34</v>
      </c>
      <c r="G12" s="7">
        <v>80</v>
      </c>
      <c r="H12" s="3">
        <v>12000</v>
      </c>
    </row>
    <row r="13" spans="2:10">
      <c r="B13" s="2">
        <v>10490</v>
      </c>
      <c r="C13" s="8">
        <v>45336</v>
      </c>
      <c r="D13" s="1" t="s">
        <v>44</v>
      </c>
      <c r="E13" s="2" t="s">
        <v>30</v>
      </c>
      <c r="F13" s="2" t="s">
        <v>32</v>
      </c>
      <c r="G13" s="7">
        <v>80</v>
      </c>
      <c r="H13" s="3">
        <v>12000</v>
      </c>
    </row>
    <row r="14" spans="2:10">
      <c r="B14" s="2">
        <v>10502</v>
      </c>
      <c r="C14" s="8">
        <f t="shared" ref="C14:C19" si="0">C13+90</f>
        <v>45426</v>
      </c>
      <c r="D14" s="1" t="s">
        <v>45</v>
      </c>
      <c r="E14" s="2" t="s">
        <v>30</v>
      </c>
      <c r="F14" s="2" t="s">
        <v>33</v>
      </c>
      <c r="G14" s="7">
        <v>80</v>
      </c>
      <c r="H14" s="3">
        <v>25600</v>
      </c>
    </row>
    <row r="15" spans="2:10">
      <c r="B15" s="2">
        <v>10523</v>
      </c>
      <c r="C15" s="8">
        <f t="shared" si="0"/>
        <v>45516</v>
      </c>
      <c r="D15" s="1" t="s">
        <v>46</v>
      </c>
      <c r="E15" s="2" t="s">
        <v>27</v>
      </c>
      <c r="F15" s="2" t="s">
        <v>32</v>
      </c>
      <c r="G15" s="7">
        <v>80</v>
      </c>
      <c r="H15" s="3">
        <v>32000</v>
      </c>
    </row>
    <row r="16" spans="2:10">
      <c r="B16" s="2">
        <v>10525</v>
      </c>
      <c r="C16" s="8">
        <f t="shared" si="0"/>
        <v>45606</v>
      </c>
      <c r="D16" s="1" t="s">
        <v>47</v>
      </c>
      <c r="E16" s="2" t="s">
        <v>27</v>
      </c>
      <c r="F16" s="2" t="s">
        <v>33</v>
      </c>
      <c r="G16" s="7">
        <v>79.8</v>
      </c>
      <c r="H16" s="3">
        <v>25536</v>
      </c>
    </row>
    <row r="17" spans="2:8">
      <c r="B17" s="2">
        <v>10535</v>
      </c>
      <c r="C17" s="8">
        <f t="shared" si="0"/>
        <v>45696</v>
      </c>
      <c r="D17" s="1" t="s">
        <v>48</v>
      </c>
      <c r="E17" s="2" t="s">
        <v>27</v>
      </c>
      <c r="F17" s="2" t="s">
        <v>29</v>
      </c>
      <c r="G17" s="7">
        <v>79.599999999999994</v>
      </c>
      <c r="H17" s="3">
        <v>31839.999999999996</v>
      </c>
    </row>
    <row r="18" spans="2:8">
      <c r="B18" s="2">
        <v>10461</v>
      </c>
      <c r="C18" s="8">
        <f t="shared" si="0"/>
        <v>45786</v>
      </c>
      <c r="D18" s="1" t="s">
        <v>22</v>
      </c>
      <c r="E18" s="2" t="s">
        <v>30</v>
      </c>
      <c r="F18" s="2" t="s">
        <v>32</v>
      </c>
      <c r="G18" s="7">
        <v>76.000000000000014</v>
      </c>
      <c r="H18" s="3">
        <v>30400.000000000007</v>
      </c>
    </row>
    <row r="19" spans="2:8">
      <c r="B19" s="2">
        <v>10506</v>
      </c>
      <c r="C19" s="8">
        <f t="shared" si="0"/>
        <v>45876</v>
      </c>
      <c r="D19" s="1" t="s">
        <v>49</v>
      </c>
      <c r="E19" s="2" t="s">
        <v>27</v>
      </c>
      <c r="F19" s="2" t="s">
        <v>28</v>
      </c>
      <c r="G19" s="7">
        <v>76.000000000000014</v>
      </c>
      <c r="H19" s="3">
        <v>11400.000000000002</v>
      </c>
    </row>
    <row r="20" spans="2:8">
      <c r="B20" s="2">
        <v>10531</v>
      </c>
      <c r="C20" s="8">
        <f>C28+5</f>
        <v>45349</v>
      </c>
      <c r="D20" s="1" t="s">
        <v>50</v>
      </c>
      <c r="E20" s="2" t="s">
        <v>27</v>
      </c>
      <c r="F20" s="2" t="s">
        <v>29</v>
      </c>
      <c r="G20" s="7">
        <v>76.000000000000014</v>
      </c>
      <c r="H20" s="3">
        <v>30400.000000000007</v>
      </c>
    </row>
    <row r="21" spans="2:8">
      <c r="B21" s="2">
        <v>10536</v>
      </c>
      <c r="C21" s="8">
        <f>C29+C35</f>
        <v>45339</v>
      </c>
      <c r="D21" s="1" t="s">
        <v>51</v>
      </c>
      <c r="E21" s="2" t="s">
        <v>27</v>
      </c>
      <c r="F21" s="2" t="s">
        <v>28</v>
      </c>
      <c r="G21" s="7">
        <v>76.000000000000014</v>
      </c>
      <c r="H21" s="3">
        <v>11400.000000000002</v>
      </c>
    </row>
    <row r="22" spans="2:8">
      <c r="B22" s="2">
        <v>10541</v>
      </c>
      <c r="C22" s="8">
        <f>C25+60</f>
        <v>45509</v>
      </c>
      <c r="D22" s="1" t="s">
        <v>52</v>
      </c>
      <c r="E22" s="2" t="s">
        <v>27</v>
      </c>
      <c r="F22" s="2" t="s">
        <v>29</v>
      </c>
      <c r="G22" s="7">
        <v>76.000000000000014</v>
      </c>
      <c r="H22" s="3">
        <v>24320.000000000004</v>
      </c>
    </row>
    <row r="23" spans="2:8">
      <c r="B23" s="2">
        <v>10546</v>
      </c>
      <c r="C23" s="8">
        <f>C26+60</f>
        <v>45459</v>
      </c>
      <c r="D23" s="1" t="s">
        <v>53</v>
      </c>
      <c r="E23" s="2" t="s">
        <v>30</v>
      </c>
      <c r="F23" s="2" t="s">
        <v>32</v>
      </c>
      <c r="G23" s="7">
        <v>76.000000000000014</v>
      </c>
      <c r="H23" s="3">
        <v>24320.000000000004</v>
      </c>
    </row>
    <row r="24" spans="2:8">
      <c r="B24" s="2">
        <v>10501</v>
      </c>
      <c r="C24" s="8">
        <f>C25+50</f>
        <v>45499</v>
      </c>
      <c r="D24" s="1" t="s">
        <v>54</v>
      </c>
      <c r="E24" s="2" t="s">
        <v>30</v>
      </c>
      <c r="F24" s="2" t="s">
        <v>33</v>
      </c>
      <c r="G24" s="7">
        <v>76</v>
      </c>
      <c r="H24" s="3">
        <v>24320</v>
      </c>
    </row>
    <row r="25" spans="2:8">
      <c r="B25" s="2">
        <v>10456</v>
      </c>
      <c r="C25" s="8">
        <f>C26+50</f>
        <v>45449</v>
      </c>
      <c r="D25" s="1" t="s">
        <v>20</v>
      </c>
      <c r="E25" s="2" t="s">
        <v>30</v>
      </c>
      <c r="F25" s="2" t="s">
        <v>34</v>
      </c>
      <c r="G25" s="7">
        <v>75</v>
      </c>
      <c r="H25" s="3">
        <v>24000</v>
      </c>
    </row>
    <row r="26" spans="2:8">
      <c r="B26" s="2">
        <v>10457</v>
      </c>
      <c r="C26" s="8">
        <f>C27+50</f>
        <v>45399</v>
      </c>
      <c r="D26" s="1" t="s">
        <v>21</v>
      </c>
      <c r="E26" s="2" t="s">
        <v>30</v>
      </c>
      <c r="F26" s="2" t="s">
        <v>34</v>
      </c>
      <c r="G26" s="7">
        <v>75</v>
      </c>
      <c r="H26" s="3">
        <v>30000</v>
      </c>
    </row>
    <row r="27" spans="2:8">
      <c r="B27" s="2">
        <v>10463</v>
      </c>
      <c r="C27" s="8">
        <f>C28+5</f>
        <v>45349</v>
      </c>
      <c r="D27" s="1" t="s">
        <v>2</v>
      </c>
      <c r="E27" s="2" t="s">
        <v>27</v>
      </c>
      <c r="F27" s="2" t="s">
        <v>32</v>
      </c>
      <c r="G27" s="7">
        <v>75</v>
      </c>
      <c r="H27" s="3">
        <v>11250</v>
      </c>
    </row>
    <row r="28" spans="2:8">
      <c r="B28" s="2">
        <v>10468</v>
      </c>
      <c r="C28" s="8">
        <f>C29+5</f>
        <v>45344</v>
      </c>
      <c r="D28" s="1" t="s">
        <v>55</v>
      </c>
      <c r="E28" s="2" t="s">
        <v>27</v>
      </c>
      <c r="F28" s="2" t="s">
        <v>28</v>
      </c>
      <c r="G28" s="7">
        <v>75</v>
      </c>
      <c r="H28" s="3">
        <v>11250</v>
      </c>
    </row>
    <row r="29" spans="2:8">
      <c r="B29" s="2">
        <v>10470</v>
      </c>
      <c r="C29" s="8">
        <f>C30+3</f>
        <v>45339</v>
      </c>
      <c r="D29" s="1" t="s">
        <v>56</v>
      </c>
      <c r="E29" s="2" t="s">
        <v>30</v>
      </c>
      <c r="F29" s="2" t="s">
        <v>28</v>
      </c>
      <c r="G29" s="7">
        <v>75</v>
      </c>
      <c r="H29" s="3">
        <v>18750</v>
      </c>
    </row>
    <row r="30" spans="2:8">
      <c r="B30" s="2">
        <v>10473</v>
      </c>
      <c r="C30" s="8">
        <v>45336</v>
      </c>
      <c r="D30" s="1" t="s">
        <v>57</v>
      </c>
      <c r="E30" s="2" t="s">
        <v>30</v>
      </c>
      <c r="F30" s="2" t="s">
        <v>34</v>
      </c>
      <c r="G30" s="7">
        <v>75</v>
      </c>
      <c r="H30" s="3">
        <v>18750</v>
      </c>
    </row>
    <row r="31" spans="2:8">
      <c r="B31" s="2">
        <v>10478</v>
      </c>
      <c r="C31" s="8">
        <f>C30+3</f>
        <v>45339</v>
      </c>
      <c r="D31" s="1" t="s">
        <v>58</v>
      </c>
      <c r="E31" s="2" t="s">
        <v>30</v>
      </c>
      <c r="F31" s="2" t="s">
        <v>32</v>
      </c>
      <c r="G31" s="7">
        <v>75</v>
      </c>
      <c r="H31" s="3">
        <v>18750</v>
      </c>
    </row>
    <row r="33" spans="2:2">
      <c r="B33" t="s">
        <v>82</v>
      </c>
    </row>
    <row r="34" spans="2:2">
      <c r="B34" t="s">
        <v>83</v>
      </c>
    </row>
    <row r="35" spans="2:2">
      <c r="B35" t="s">
        <v>84</v>
      </c>
    </row>
    <row r="36" spans="2:2">
      <c r="B36" t="s">
        <v>85</v>
      </c>
    </row>
    <row r="37" spans="2:2">
      <c r="B37" t="s">
        <v>86</v>
      </c>
    </row>
  </sheetData>
  <conditionalFormatting sqref="H3:H31">
    <cfRule type="cellIs" dxfId="3" priority="5" operator="greaterThanOrEqual">
      <formula>20000</formula>
    </cfRule>
    <cfRule type="top10" dxfId="2" priority="2" rank="10"/>
  </conditionalFormatting>
  <conditionalFormatting sqref="B3:H31">
    <cfRule type="expression" priority="4">
      <formula>$H3&gt;$J$6</formula>
    </cfRule>
    <cfRule type="expression" dxfId="1" priority="3">
      <formula>$H3&gt;$J$6</formula>
    </cfRule>
  </conditionalFormatting>
  <conditionalFormatting sqref="C3:C31">
    <cfRule type="timePeriod" dxfId="0" priority="1" timePeriod="thisMonth">
      <formula>AND(MONTH(C3)=MONTH(TODAY()),YEAR(C3)=YEAR(TODAY()))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0310-EC17-284A-A0B1-22252D38A3A9}">
  <dimension ref="B2:F15"/>
  <sheetViews>
    <sheetView zoomScale="130" zoomScaleNormal="130" workbookViewId="0">
      <selection activeCell="C17" sqref="C17"/>
    </sheetView>
  </sheetViews>
  <sheetFormatPr defaultColWidth="10.69921875" defaultRowHeight="15.6"/>
  <cols>
    <col min="1" max="1" width="6" customWidth="1"/>
    <col min="2" max="2" width="8.69921875" customWidth="1"/>
    <col min="4" max="4" width="10" bestFit="1" customWidth="1"/>
    <col min="9" max="9" width="6.5" customWidth="1"/>
  </cols>
  <sheetData>
    <row r="2" spans="2:6">
      <c r="B2" s="9" t="s">
        <v>1</v>
      </c>
      <c r="C2" s="9" t="s">
        <v>3</v>
      </c>
      <c r="D2" s="9" t="s">
        <v>71</v>
      </c>
      <c r="E2" s="9" t="s">
        <v>72</v>
      </c>
      <c r="F2" s="9" t="s">
        <v>73</v>
      </c>
    </row>
    <row r="3" spans="2:6">
      <c r="B3" s="1" t="s">
        <v>5</v>
      </c>
      <c r="C3" s="1" t="s">
        <v>16</v>
      </c>
      <c r="D3" s="3">
        <v>25000</v>
      </c>
      <c r="E3" s="3">
        <v>50000</v>
      </c>
      <c r="F3" s="15">
        <f>E3/D3-1</f>
        <v>1</v>
      </c>
    </row>
    <row r="4" spans="2:6">
      <c r="B4" s="1" t="s">
        <v>6</v>
      </c>
      <c r="C4" s="1" t="s">
        <v>4</v>
      </c>
      <c r="D4" s="3">
        <v>45000</v>
      </c>
      <c r="E4" s="3">
        <v>45000</v>
      </c>
      <c r="F4" s="15">
        <f t="shared" ref="F4:F13" si="0">E4/D4-1</f>
        <v>0</v>
      </c>
    </row>
    <row r="5" spans="2:6">
      <c r="B5" s="1" t="s">
        <v>7</v>
      </c>
      <c r="C5" s="1" t="s">
        <v>4</v>
      </c>
      <c r="D5" s="3">
        <v>50000</v>
      </c>
      <c r="E5" s="3">
        <v>48500</v>
      </c>
      <c r="F5" s="15">
        <f t="shared" si="0"/>
        <v>-3.0000000000000027E-2</v>
      </c>
    </row>
    <row r="6" spans="2:6">
      <c r="B6" s="1" t="s">
        <v>8</v>
      </c>
      <c r="C6" s="1" t="s">
        <v>4</v>
      </c>
      <c r="D6" s="3">
        <v>65000</v>
      </c>
      <c r="E6" s="3">
        <v>55000</v>
      </c>
      <c r="F6" s="15">
        <f t="shared" si="0"/>
        <v>-0.15384615384615385</v>
      </c>
    </row>
    <row r="7" spans="2:6">
      <c r="B7" s="1" t="s">
        <v>9</v>
      </c>
      <c r="C7" s="1" t="s">
        <v>18</v>
      </c>
      <c r="D7" s="3">
        <v>50000</v>
      </c>
      <c r="E7" s="3">
        <v>62500</v>
      </c>
      <c r="F7" s="15">
        <f t="shared" si="0"/>
        <v>0.25</v>
      </c>
    </row>
    <row r="8" spans="2:6">
      <c r="B8" s="1" t="s">
        <v>10</v>
      </c>
      <c r="C8" s="1" t="s">
        <v>18</v>
      </c>
      <c r="D8" s="3">
        <v>34500</v>
      </c>
      <c r="E8" s="3">
        <v>41500</v>
      </c>
      <c r="F8" s="15">
        <f t="shared" si="0"/>
        <v>0.20289855072463769</v>
      </c>
    </row>
    <row r="9" spans="2:6">
      <c r="B9" s="1" t="s">
        <v>11</v>
      </c>
      <c r="C9" s="1" t="s">
        <v>17</v>
      </c>
      <c r="D9" s="3">
        <v>33800</v>
      </c>
      <c r="E9" s="3">
        <v>40000</v>
      </c>
      <c r="F9" s="15">
        <f t="shared" si="0"/>
        <v>0.18343195266272194</v>
      </c>
    </row>
    <row r="10" spans="2:6">
      <c r="B10" s="1" t="s">
        <v>12</v>
      </c>
      <c r="C10" s="1" t="s">
        <v>17</v>
      </c>
      <c r="D10" s="3">
        <v>29500</v>
      </c>
      <c r="E10" s="3">
        <v>32500</v>
      </c>
      <c r="F10" s="15">
        <f t="shared" si="0"/>
        <v>0.10169491525423724</v>
      </c>
    </row>
    <row r="11" spans="2:6">
      <c r="B11" s="1" t="s">
        <v>13</v>
      </c>
      <c r="C11" s="1" t="s">
        <v>17</v>
      </c>
      <c r="D11" s="3">
        <v>65800</v>
      </c>
      <c r="E11" s="3">
        <v>80000</v>
      </c>
      <c r="F11" s="15">
        <f t="shared" si="0"/>
        <v>0.21580547112462001</v>
      </c>
    </row>
    <row r="12" spans="2:6">
      <c r="B12" s="1" t="s">
        <v>14</v>
      </c>
      <c r="C12" s="1" t="s">
        <v>16</v>
      </c>
      <c r="D12" s="3">
        <v>70000</v>
      </c>
      <c r="E12" s="3">
        <v>64280</v>
      </c>
      <c r="F12" s="15">
        <f t="shared" si="0"/>
        <v>-8.1714285714285739E-2</v>
      </c>
    </row>
    <row r="13" spans="2:6">
      <c r="B13" s="1" t="s">
        <v>15</v>
      </c>
      <c r="C13" s="1" t="s">
        <v>16</v>
      </c>
      <c r="D13" s="3">
        <v>68000</v>
      </c>
      <c r="E13" s="3">
        <v>53250</v>
      </c>
      <c r="F13" s="15">
        <f t="shared" si="0"/>
        <v>-0.21691176470588236</v>
      </c>
    </row>
    <row r="15" spans="2:6">
      <c r="B15" t="s">
        <v>81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5085CDE-B016-4DE7-B9E2-1AA3367F622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F3:F13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8EF8-9761-7F41-B8D6-2377CD63A437}">
  <dimension ref="B2:K16"/>
  <sheetViews>
    <sheetView topLeftCell="B1" zoomScale="86" zoomScaleNormal="130" workbookViewId="0">
      <selection activeCell="C23" sqref="C23"/>
    </sheetView>
  </sheetViews>
  <sheetFormatPr defaultColWidth="10.69921875" defaultRowHeight="15.6"/>
  <cols>
    <col min="1" max="1" width="4.796875" customWidth="1"/>
  </cols>
  <sheetData>
    <row r="2" spans="2:11">
      <c r="B2" s="11" t="s">
        <v>59</v>
      </c>
      <c r="C2" s="12">
        <v>45292</v>
      </c>
      <c r="D2" s="12">
        <f>EDATE(C2,1)</f>
        <v>45323</v>
      </c>
      <c r="E2" s="12">
        <f t="shared" ref="E2:I2" si="0">EDATE(D2,1)</f>
        <v>45352</v>
      </c>
      <c r="F2" s="12">
        <f t="shared" si="0"/>
        <v>45383</v>
      </c>
      <c r="G2" s="12">
        <f t="shared" si="0"/>
        <v>45413</v>
      </c>
      <c r="H2" s="12">
        <f t="shared" si="0"/>
        <v>45444</v>
      </c>
      <c r="I2" s="12">
        <f t="shared" si="0"/>
        <v>45474</v>
      </c>
    </row>
    <row r="3" spans="2:11">
      <c r="B3" s="5" t="s">
        <v>60</v>
      </c>
      <c r="C3" s="6">
        <v>92799</v>
      </c>
      <c r="D3" s="6">
        <f>C3*1.08</f>
        <v>100222.92000000001</v>
      </c>
      <c r="E3" s="6">
        <f>D3*1.3</f>
        <v>130289.79600000002</v>
      </c>
      <c r="F3" s="6">
        <f>E3*0.85</f>
        <v>110746.32660000001</v>
      </c>
      <c r="G3" s="6">
        <f>F3*0.94</f>
        <v>104101.54700400001</v>
      </c>
      <c r="H3" s="6">
        <f>G3*1.12</f>
        <v>116593.73264448001</v>
      </c>
      <c r="I3" s="6">
        <f>H3*1.12</f>
        <v>130584.98056181763</v>
      </c>
      <c r="K3" s="4"/>
    </row>
    <row r="4" spans="2:11">
      <c r="B4" s="5" t="s">
        <v>61</v>
      </c>
      <c r="C4" s="6">
        <v>105558</v>
      </c>
      <c r="D4" s="6">
        <v>95880</v>
      </c>
      <c r="E4" s="6">
        <v>100255</v>
      </c>
      <c r="F4" s="6">
        <v>104255</v>
      </c>
      <c r="G4" s="6">
        <v>105669</v>
      </c>
      <c r="H4" s="6">
        <v>165220</v>
      </c>
      <c r="I4" s="6">
        <v>159200</v>
      </c>
      <c r="K4" s="4"/>
    </row>
    <row r="5" spans="2:11">
      <c r="B5" s="5" t="s">
        <v>62</v>
      </c>
      <c r="C5" s="6">
        <v>99127</v>
      </c>
      <c r="D5" s="6">
        <f t="shared" ref="D5:D11" si="1">C5*1.08</f>
        <v>107057.16</v>
      </c>
      <c r="E5" s="6">
        <f t="shared" ref="E5:E11" si="2">D5*1.3</f>
        <v>139174.30800000002</v>
      </c>
      <c r="F5" s="6">
        <f t="shared" ref="F5:F11" si="3">E5*0.85</f>
        <v>118298.16180000002</v>
      </c>
      <c r="G5" s="6">
        <f t="shared" ref="G5:G11" si="4">F5*0.94</f>
        <v>111200.27209200001</v>
      </c>
      <c r="H5" s="6">
        <f t="shared" ref="H5:H11" si="5">G5*1.12</f>
        <v>124544.30474304003</v>
      </c>
      <c r="I5" s="6">
        <f>D5</f>
        <v>107057.16</v>
      </c>
    </row>
    <row r="6" spans="2:11">
      <c r="B6" s="5" t="s">
        <v>63</v>
      </c>
      <c r="C6" s="6">
        <v>65468</v>
      </c>
      <c r="D6" s="6">
        <f t="shared" si="1"/>
        <v>70705.440000000002</v>
      </c>
      <c r="E6" s="6">
        <f t="shared" si="2"/>
        <v>91917.072</v>
      </c>
      <c r="F6" s="6">
        <f t="shared" si="3"/>
        <v>78129.511199999994</v>
      </c>
      <c r="G6" s="6">
        <f t="shared" si="4"/>
        <v>73441.740527999995</v>
      </c>
      <c r="H6" s="6">
        <f t="shared" si="5"/>
        <v>82254.749391360005</v>
      </c>
      <c r="I6" s="6">
        <f>H6*1.1</f>
        <v>90480.224330496014</v>
      </c>
    </row>
    <row r="7" spans="2:11">
      <c r="B7" s="5" t="s">
        <v>64</v>
      </c>
      <c r="C7" s="6">
        <v>18856</v>
      </c>
      <c r="D7" s="6">
        <f t="shared" si="1"/>
        <v>20364.48</v>
      </c>
      <c r="E7" s="6">
        <f t="shared" si="2"/>
        <v>26473.824000000001</v>
      </c>
      <c r="F7" s="6">
        <f t="shared" si="3"/>
        <v>22502.750400000001</v>
      </c>
      <c r="G7" s="6">
        <f t="shared" si="4"/>
        <v>21152.585375999999</v>
      </c>
      <c r="H7" s="6">
        <f t="shared" si="5"/>
        <v>23690.895621120002</v>
      </c>
      <c r="I7" s="6">
        <f>H7*0.85</f>
        <v>20137.261277952002</v>
      </c>
    </row>
    <row r="8" spans="2:11">
      <c r="B8" s="5" t="s">
        <v>65</v>
      </c>
      <c r="C8" s="6">
        <v>7648</v>
      </c>
      <c r="D8" s="6">
        <f t="shared" si="1"/>
        <v>8259.84</v>
      </c>
      <c r="E8" s="6">
        <f t="shared" si="2"/>
        <v>10737.792000000001</v>
      </c>
      <c r="F8" s="6">
        <f t="shared" si="3"/>
        <v>9127.1232</v>
      </c>
      <c r="G8" s="6">
        <f t="shared" si="4"/>
        <v>8579.4958079999997</v>
      </c>
      <c r="H8" s="6">
        <f t="shared" si="5"/>
        <v>9609.0353049599998</v>
      </c>
      <c r="I8" s="6">
        <f>H8*1.05</f>
        <v>10089.487070208001</v>
      </c>
    </row>
    <row r="9" spans="2:11">
      <c r="B9" s="5" t="s">
        <v>66</v>
      </c>
      <c r="C9" s="6">
        <v>9865</v>
      </c>
      <c r="D9" s="6">
        <f t="shared" si="1"/>
        <v>10654.2</v>
      </c>
      <c r="E9" s="6">
        <f t="shared" si="2"/>
        <v>13850.460000000001</v>
      </c>
      <c r="F9" s="6">
        <f t="shared" si="3"/>
        <v>11772.891</v>
      </c>
      <c r="G9" s="6">
        <f t="shared" si="4"/>
        <v>11066.517539999999</v>
      </c>
      <c r="H9" s="6">
        <f t="shared" si="5"/>
        <v>12394.4996448</v>
      </c>
      <c r="I9" s="6">
        <f>C9</f>
        <v>9865</v>
      </c>
    </row>
    <row r="10" spans="2:11">
      <c r="B10" s="5" t="s">
        <v>67</v>
      </c>
      <c r="C10" s="6">
        <v>11061</v>
      </c>
      <c r="D10" s="6">
        <f t="shared" si="1"/>
        <v>11945.880000000001</v>
      </c>
      <c r="E10" s="6">
        <f t="shared" si="2"/>
        <v>15529.644000000002</v>
      </c>
      <c r="F10" s="6">
        <f t="shared" si="3"/>
        <v>13200.197400000001</v>
      </c>
      <c r="G10" s="6">
        <f t="shared" si="4"/>
        <v>12408.185556</v>
      </c>
      <c r="H10" s="6">
        <f t="shared" si="5"/>
        <v>13897.167822720001</v>
      </c>
      <c r="I10" s="6">
        <f>C10</f>
        <v>11061</v>
      </c>
    </row>
    <row r="11" spans="2:11">
      <c r="B11" s="5" t="s">
        <v>68</v>
      </c>
      <c r="C11" s="6">
        <v>78305</v>
      </c>
      <c r="D11" s="6">
        <f t="shared" si="1"/>
        <v>84569.400000000009</v>
      </c>
      <c r="E11" s="6">
        <f t="shared" si="2"/>
        <v>109940.22000000002</v>
      </c>
      <c r="F11" s="6">
        <f t="shared" si="3"/>
        <v>93449.187000000005</v>
      </c>
      <c r="G11" s="6">
        <f t="shared" si="4"/>
        <v>87842.235780000003</v>
      </c>
      <c r="H11" s="6">
        <f t="shared" si="5"/>
        <v>98383.304073600011</v>
      </c>
      <c r="I11" s="6">
        <f>H11*0.98</f>
        <v>96415.637992128002</v>
      </c>
    </row>
    <row r="12" spans="2:11" ht="16.2" thickBot="1">
      <c r="B12" s="13" t="s">
        <v>69</v>
      </c>
      <c r="C12" s="14">
        <f t="shared" ref="C12:H12" si="6">SUM(C3:C11)</f>
        <v>488687</v>
      </c>
      <c r="D12" s="14">
        <f t="shared" si="6"/>
        <v>509659.32000000007</v>
      </c>
      <c r="E12" s="14">
        <f t="shared" si="6"/>
        <v>638168.11600000004</v>
      </c>
      <c r="F12" s="14">
        <f t="shared" si="6"/>
        <v>561481.14860000007</v>
      </c>
      <c r="G12" s="14">
        <f t="shared" si="6"/>
        <v>535461.57968399988</v>
      </c>
      <c r="H12" s="14">
        <f t="shared" si="6"/>
        <v>646587.68924608</v>
      </c>
      <c r="I12" s="14">
        <f t="shared" ref="I12" si="7">SUM(I3:I11)</f>
        <v>634890.7512326017</v>
      </c>
    </row>
    <row r="14" spans="2:11">
      <c r="B14" t="s">
        <v>78</v>
      </c>
    </row>
    <row r="15" spans="2:11">
      <c r="B15" t="s">
        <v>79</v>
      </c>
    </row>
    <row r="16" spans="2:11">
      <c r="B16" t="s">
        <v>80</v>
      </c>
    </row>
  </sheetData>
  <conditionalFormatting sqref="C3:C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{C26A63C1-9E50-4E51-85B8-E020681DF3AF}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6A63C1-9E50-4E51-85B8-E020681DF3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C3:C11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CA633C8-4B82-4B81-AAE4-1A92BC3B07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'Pt3'!C3:I3</xm:f>
              <xm:sqref>J3</xm:sqref>
            </x14:sparkline>
            <x14:sparkline>
              <xm:f>'Pt3'!C4:I4</xm:f>
              <xm:sqref>J4</xm:sqref>
            </x14:sparkline>
            <x14:sparkline>
              <xm:f>'Pt3'!C5:I5</xm:f>
              <xm:sqref>J5</xm:sqref>
            </x14:sparkline>
            <x14:sparkline>
              <xm:f>'Pt3'!C6:I6</xm:f>
              <xm:sqref>J6</xm:sqref>
            </x14:sparkline>
            <x14:sparkline>
              <xm:f>'Pt3'!C7:I7</xm:f>
              <xm:sqref>J7</xm:sqref>
            </x14:sparkline>
            <x14:sparkline>
              <xm:f>'Pt3'!C8:I8</xm:f>
              <xm:sqref>J8</xm:sqref>
            </x14:sparkline>
            <x14:sparkline>
              <xm:f>'Pt3'!C9:I9</xm:f>
              <xm:sqref>J9</xm:sqref>
            </x14:sparkline>
            <x14:sparkline>
              <xm:f>'Pt3'!C10:I10</xm:f>
              <xm:sqref>J10</xm:sqref>
            </x14:sparkline>
            <x14:sparkline>
              <xm:f>'Pt3'!C11:I11</xm:f>
              <xm:sqref>J11</xm:sqref>
            </x14:sparkline>
            <x14:sparkline>
              <xm:f>'Pt3'!C12:I12</xm:f>
              <xm:sqref>J12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6" ma:contentTypeDescription="Create a new document." ma:contentTypeScope="" ma:versionID="5c944ca9f01d73e2ba6ff303c306403f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5ea1e34812647265e85500045e7e1a35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Props1.xml><?xml version="1.0" encoding="utf-8"?>
<ds:datastoreItem xmlns:ds="http://schemas.openxmlformats.org/officeDocument/2006/customXml" ds:itemID="{EE2F4B43-23BD-4802-9B7F-7C789E500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CDB4BD-313A-4631-9DDF-E0C32A9B86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055580-176D-4CEE-93BC-955ACF5C8C3B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Pt1</vt:lpstr>
      <vt:lpstr>Pt2</vt:lpstr>
      <vt:lpstr>Pt3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2023-04-17T08:35:45Z</dcterms:created>
  <dcterms:modified xsi:type="dcterms:W3CDTF">2026-01-27T17:15:38Z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MediaServiceImageTags">
    <vt:lpwstr/>
  </property>
</Properties>
</file>