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67" documentId="8_{B3983C3C-6F08-4E2D-884D-17987CA4B6B3}" xr6:coauthVersionLast="47" xr6:coauthVersionMax="47" xr10:uidLastSave="{7C3F1246-AF00-4B92-AAFC-3728A82EEB2D}"/>
  <bookViews>
    <workbookView xWindow="11424" yWindow="0" windowWidth="11712" windowHeight="12336" activeTab="4" xr2:uid="{6B4EED37-497C-634C-864B-550DF14C92E4}"/>
  </bookViews>
  <sheets>
    <sheet name="1" sheetId="3" r:id="rId1"/>
    <sheet name="2" sheetId="13" r:id="rId2"/>
    <sheet name="3" sheetId="14" r:id="rId3"/>
    <sheet name="4" sheetId="15" r:id="rId4"/>
    <sheet name="summary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4" l="1"/>
  <c r="C6" i="14" a="1"/>
  <c r="C6" i="14" s="1"/>
  <c r="C13" i="15"/>
  <c r="C6" i="15" a="1"/>
  <c r="C6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<sst xmlns="http://schemas.openxmlformats.org/spreadsheetml/2006/main" count="244" uniqueCount="105">
  <si>
    <t>Revenue</t>
  </si>
  <si>
    <t>Country</t>
  </si>
  <si>
    <t>Region</t>
  </si>
  <si>
    <t>Manager</t>
  </si>
  <si>
    <t>Europe</t>
  </si>
  <si>
    <t>Asia</t>
  </si>
  <si>
    <t>North America</t>
  </si>
  <si>
    <t>South America</t>
  </si>
  <si>
    <t>USA</t>
  </si>
  <si>
    <t>France</t>
  </si>
  <si>
    <t>Spain</t>
  </si>
  <si>
    <t>Germany</t>
  </si>
  <si>
    <t>Italy</t>
  </si>
  <si>
    <t>Japan</t>
  </si>
  <si>
    <t>India</t>
  </si>
  <si>
    <t>China</t>
  </si>
  <si>
    <t>Canada</t>
  </si>
  <si>
    <t>Brazil</t>
  </si>
  <si>
    <t>Argentina</t>
  </si>
  <si>
    <t>Chile</t>
  </si>
  <si>
    <t>Mexico</t>
  </si>
  <si>
    <t>Benoit Paire</t>
  </si>
  <si>
    <t>Chris Sharma</t>
  </si>
  <si>
    <t>Thiago Forte</t>
  </si>
  <si>
    <t>Eric Garcia</t>
  </si>
  <si>
    <t>Sam Smith</t>
  </si>
  <si>
    <t>Mike Trouth</t>
  </si>
  <si>
    <t>Sarah Lee</t>
  </si>
  <si>
    <t>Ana Garcia</t>
  </si>
  <si>
    <t>Jess Shlaf</t>
  </si>
  <si>
    <t>Wong Woo</t>
  </si>
  <si>
    <t>Alexis Sanchez</t>
  </si>
  <si>
    <t>Hanna Lopez</t>
  </si>
  <si>
    <t>Contact</t>
  </si>
  <si>
    <t>Chris.sharma@abc.com</t>
  </si>
  <si>
    <t>Benoit.paire@abc.com</t>
  </si>
  <si>
    <t>Sam.smith@abc.com</t>
  </si>
  <si>
    <t>Thiago.forte@abc.com</t>
  </si>
  <si>
    <t>Eric.garcia@abc.com</t>
  </si>
  <si>
    <t>Mike.trouth@abc.com</t>
  </si>
  <si>
    <t>Sarah.lee@abc.com</t>
  </si>
  <si>
    <t>Ana.garcia@abc.com</t>
  </si>
  <si>
    <t>Jess.shlaf@abc.com</t>
  </si>
  <si>
    <t>Wong.woo@abc.com</t>
  </si>
  <si>
    <t>Alexis.sanchez@abc.com</t>
  </si>
  <si>
    <t>Hanna.lopez@abc.com</t>
  </si>
  <si>
    <t>Region:</t>
  </si>
  <si>
    <t>Country:</t>
  </si>
  <si>
    <t>Manager:</t>
  </si>
  <si>
    <t>Contact:</t>
  </si>
  <si>
    <t>Profit Margin:</t>
  </si>
  <si>
    <t>Revenue:</t>
  </si>
  <si>
    <t>Profit Margin</t>
  </si>
  <si>
    <t>City 1</t>
  </si>
  <si>
    <t>City 2</t>
  </si>
  <si>
    <t>City 3</t>
  </si>
  <si>
    <t>City</t>
  </si>
  <si>
    <t>Paris</t>
  </si>
  <si>
    <t>Lyon</t>
  </si>
  <si>
    <t>Marseille</t>
  </si>
  <si>
    <t>Tokyo</t>
  </si>
  <si>
    <t>Osaka</t>
  </si>
  <si>
    <t>Sapporo</t>
  </si>
  <si>
    <t>New York</t>
  </si>
  <si>
    <t>Chicago</t>
  </si>
  <si>
    <t>San Francisco</t>
  </si>
  <si>
    <t>Sao Paulo</t>
  </si>
  <si>
    <t>Rio de Janeiro</t>
  </si>
  <si>
    <t>Salvador</t>
  </si>
  <si>
    <t>Madrid</t>
  </si>
  <si>
    <t>Barcelona</t>
  </si>
  <si>
    <t>Valencia</t>
  </si>
  <si>
    <t>Mumbai</t>
  </si>
  <si>
    <t>Delhi</t>
  </si>
  <si>
    <t>Bangalore</t>
  </si>
  <si>
    <t>Vancouver</t>
  </si>
  <si>
    <t>Toronto</t>
  </si>
  <si>
    <t>Calgary</t>
  </si>
  <si>
    <t>Buenos Aires</t>
  </si>
  <si>
    <t>Rosario</t>
  </si>
  <si>
    <t>Mendoza</t>
  </si>
  <si>
    <t>Berlin</t>
  </si>
  <si>
    <t>Frankfurt</t>
  </si>
  <si>
    <t>Cologne</t>
  </si>
  <si>
    <t>Beijing</t>
  </si>
  <si>
    <t>Shanghai</t>
  </si>
  <si>
    <t>Chengdu</t>
  </si>
  <si>
    <t>Mexico City</t>
  </si>
  <si>
    <t>Guadalajara</t>
  </si>
  <si>
    <t>Puebla</t>
  </si>
  <si>
    <t>Santiago</t>
  </si>
  <si>
    <t>Valparaiso</t>
  </si>
  <si>
    <t>La Serena</t>
  </si>
  <si>
    <t>Austria</t>
  </si>
  <si>
    <t>Rome</t>
  </si>
  <si>
    <t>Milan</t>
  </si>
  <si>
    <t>Turin</t>
  </si>
  <si>
    <t>Vienna</t>
  </si>
  <si>
    <t>Innsbruck</t>
  </si>
  <si>
    <t>Salzburg</t>
  </si>
  <si>
    <t>Created dynamic, multi-level dependent dropdown lists in Excel using Data Validation</t>
  </si>
  <si>
    <t>with XLOOKUP. Implemented Region → Country → City dependencies, auto-</t>
  </si>
  <si>
    <t>populated related metrics using XLOOKUP + TRANSPOSE, and added error validation</t>
  </si>
  <si>
    <t>with COUNTIFS and Conditional Formatting to prevent invalid selections and improve</t>
  </si>
  <si>
    <t>data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</si>
</sst>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8A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64" fontId="4" fillId="3" borderId="0" xfId="0" applyNumberFormat="1" applyFont="1" applyFill="1" applyAlignment="1">
      <alignment horizontal="center" vertical="center"/>
    </xf>
    <xf numFmtId="0" fontId="2" fillId="0" borderId="0" xfId="0" applyFont="1"/>
    <xf numFmtId="164" fontId="4" fillId="2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6" fillId="0" borderId="0" xfId="1" applyFont="1"/>
    <xf numFmtId="0" fontId="2" fillId="0" borderId="0" xfId="0" applyFont="1" applyAlignment="1">
      <alignment horizontal="center"/>
    </xf>
    <xf numFmtId="9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49" fontId="2" fillId="0" borderId="0" xfId="0" applyNumberFormat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8A00"/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a.garcia@abc.com" TargetMode="External"/><Relationship Id="rId3" Type="http://schemas.openxmlformats.org/officeDocument/2006/relationships/hyperlink" Target="mailto:Chris.sharma@abc.com" TargetMode="External"/><Relationship Id="rId7" Type="http://schemas.openxmlformats.org/officeDocument/2006/relationships/hyperlink" Target="mailto:Sarah.lee@abc.com" TargetMode="External"/><Relationship Id="rId12" Type="http://schemas.openxmlformats.org/officeDocument/2006/relationships/hyperlink" Target="mailto:Hanna.lopez@abc.com" TargetMode="External"/><Relationship Id="rId2" Type="http://schemas.openxmlformats.org/officeDocument/2006/relationships/hyperlink" Target="mailto:Sam.smith@abc.com" TargetMode="External"/><Relationship Id="rId1" Type="http://schemas.openxmlformats.org/officeDocument/2006/relationships/hyperlink" Target="mailto:Benoit.paire@abc.com" TargetMode="External"/><Relationship Id="rId6" Type="http://schemas.openxmlformats.org/officeDocument/2006/relationships/hyperlink" Target="mailto:Mike.trouth@abc.com" TargetMode="External"/><Relationship Id="rId11" Type="http://schemas.openxmlformats.org/officeDocument/2006/relationships/hyperlink" Target="mailto:Alexis.sanchez@abc.com" TargetMode="External"/><Relationship Id="rId5" Type="http://schemas.openxmlformats.org/officeDocument/2006/relationships/hyperlink" Target="mailto:Eric.garcia@abc.com" TargetMode="External"/><Relationship Id="rId10" Type="http://schemas.openxmlformats.org/officeDocument/2006/relationships/hyperlink" Target="mailto:Wong.woo@abc.com" TargetMode="External"/><Relationship Id="rId4" Type="http://schemas.openxmlformats.org/officeDocument/2006/relationships/hyperlink" Target="mailto:Thiago.forte@abc.com" TargetMode="External"/><Relationship Id="rId9" Type="http://schemas.openxmlformats.org/officeDocument/2006/relationships/hyperlink" Target="mailto:Jess.shlaf@abc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a.garcia@abc.com" TargetMode="External"/><Relationship Id="rId3" Type="http://schemas.openxmlformats.org/officeDocument/2006/relationships/hyperlink" Target="mailto:Chris.sharma@abc.com" TargetMode="External"/><Relationship Id="rId7" Type="http://schemas.openxmlformats.org/officeDocument/2006/relationships/hyperlink" Target="mailto:Sarah.lee@abc.com" TargetMode="External"/><Relationship Id="rId12" Type="http://schemas.openxmlformats.org/officeDocument/2006/relationships/hyperlink" Target="mailto:Hanna.lopez@abc.com" TargetMode="External"/><Relationship Id="rId2" Type="http://schemas.openxmlformats.org/officeDocument/2006/relationships/hyperlink" Target="mailto:Sam.smith@abc.com" TargetMode="External"/><Relationship Id="rId1" Type="http://schemas.openxmlformats.org/officeDocument/2006/relationships/hyperlink" Target="mailto:Benoit.paire@abc.com" TargetMode="External"/><Relationship Id="rId6" Type="http://schemas.openxmlformats.org/officeDocument/2006/relationships/hyperlink" Target="mailto:Mike.trouth@abc.com" TargetMode="External"/><Relationship Id="rId11" Type="http://schemas.openxmlformats.org/officeDocument/2006/relationships/hyperlink" Target="mailto:Alexis.sanchez@abc.com" TargetMode="External"/><Relationship Id="rId5" Type="http://schemas.openxmlformats.org/officeDocument/2006/relationships/hyperlink" Target="mailto:Eric.garcia@abc.com" TargetMode="External"/><Relationship Id="rId10" Type="http://schemas.openxmlformats.org/officeDocument/2006/relationships/hyperlink" Target="mailto:Wong.woo@abc.com" TargetMode="External"/><Relationship Id="rId4" Type="http://schemas.openxmlformats.org/officeDocument/2006/relationships/hyperlink" Target="mailto:Thiago.forte@abc.com" TargetMode="External"/><Relationship Id="rId9" Type="http://schemas.openxmlformats.org/officeDocument/2006/relationships/hyperlink" Target="mailto:Jess.shlaf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2D5B-FB84-2A43-B4A9-C14A1F477F60}">
  <dimension ref="B1:H7"/>
  <sheetViews>
    <sheetView zoomScale="96" zoomScaleNormal="130" workbookViewId="0">
      <selection activeCell="C3" sqref="C3"/>
    </sheetView>
  </sheetViews>
  <sheetFormatPr defaultColWidth="10.796875" defaultRowHeight="14.4" x14ac:dyDescent="0.3"/>
  <cols>
    <col min="1" max="1" width="5.5" style="2" customWidth="1"/>
    <col min="2" max="2" width="10.796875" style="2"/>
    <col min="3" max="3" width="8.5" style="2" customWidth="1"/>
    <col min="4" max="6" width="10.796875" style="2"/>
    <col min="7" max="8" width="12.5" style="2" bestFit="1" customWidth="1"/>
    <col min="9" max="16384" width="10.796875" style="2"/>
  </cols>
  <sheetData>
    <row r="1" spans="2:8" ht="10.8" customHeight="1" x14ac:dyDescent="0.3"/>
    <row r="2" spans="2:8" x14ac:dyDescent="0.3">
      <c r="B2" s="1" t="s">
        <v>2</v>
      </c>
      <c r="C2" s="1" t="s">
        <v>1</v>
      </c>
      <c r="E2" s="3" t="s">
        <v>4</v>
      </c>
      <c r="F2" s="3" t="s">
        <v>5</v>
      </c>
      <c r="G2" s="3" t="s">
        <v>6</v>
      </c>
      <c r="H2" s="3" t="s">
        <v>7</v>
      </c>
    </row>
    <row r="3" spans="2:8" x14ac:dyDescent="0.3">
      <c r="B3" s="2" t="s">
        <v>7</v>
      </c>
      <c r="C3" s="2" t="s">
        <v>18</v>
      </c>
      <c r="E3" s="2" t="s">
        <v>9</v>
      </c>
      <c r="F3" s="2" t="s">
        <v>13</v>
      </c>
      <c r="G3" s="2" t="s">
        <v>8</v>
      </c>
      <c r="H3" s="2" t="s">
        <v>17</v>
      </c>
    </row>
    <row r="4" spans="2:8" x14ac:dyDescent="0.3">
      <c r="E4" s="2" t="s">
        <v>10</v>
      </c>
      <c r="F4" s="2" t="s">
        <v>14</v>
      </c>
      <c r="G4" s="2" t="s">
        <v>16</v>
      </c>
      <c r="H4" s="2" t="s">
        <v>18</v>
      </c>
    </row>
    <row r="5" spans="2:8" x14ac:dyDescent="0.3">
      <c r="E5" s="2" t="s">
        <v>11</v>
      </c>
      <c r="F5" s="2" t="s">
        <v>15</v>
      </c>
      <c r="G5" s="6" t="s">
        <v>20</v>
      </c>
      <c r="H5" s="2" t="s">
        <v>19</v>
      </c>
    </row>
    <row r="6" spans="2:8" x14ac:dyDescent="0.3">
      <c r="E6" s="6" t="s">
        <v>12</v>
      </c>
    </row>
    <row r="7" spans="2:8" x14ac:dyDescent="0.3">
      <c r="E7" s="6" t="s">
        <v>93</v>
      </c>
    </row>
  </sheetData>
  <dataValidations count="2">
    <dataValidation type="list" allowBlank="1" showInputMessage="1" showErrorMessage="1" sqref="B3:B6" xr:uid="{8B6DF122-D52F-4D07-936C-8C53B081919E}">
      <formula1>$E$2:$H$2</formula1>
    </dataValidation>
    <dataValidation type="list" allowBlank="1" showInputMessage="1" showErrorMessage="1" sqref="C3" xr:uid="{E8282B1E-178D-449F-8A29-77419C4A7ED3}">
      <formula1>_xlfn.XLOOKUP(B3,$E$2:$H$2,$E$3:$H$7)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B8DE-3B5B-4CA6-9EB7-74B42AAC8655}">
  <dimension ref="B1:I23"/>
  <sheetViews>
    <sheetView zoomScale="96" zoomScaleNormal="130" workbookViewId="0">
      <selection activeCell="D4" sqref="D4"/>
    </sheetView>
  </sheetViews>
  <sheetFormatPr defaultColWidth="10.796875" defaultRowHeight="14.4" x14ac:dyDescent="0.3"/>
  <cols>
    <col min="1" max="1" width="5.5" style="2" customWidth="1"/>
    <col min="2" max="2" width="7.296875" style="2" customWidth="1"/>
    <col min="3" max="4" width="8.5" style="2" customWidth="1"/>
    <col min="5" max="7" width="10.796875" style="2"/>
    <col min="8" max="9" width="12.5" style="2" bestFit="1" customWidth="1"/>
    <col min="10" max="16384" width="10.796875" style="2"/>
  </cols>
  <sheetData>
    <row r="1" spans="2:9" ht="9" customHeight="1" x14ac:dyDescent="0.3"/>
    <row r="2" spans="2:9" x14ac:dyDescent="0.3">
      <c r="B2" s="1" t="s">
        <v>2</v>
      </c>
      <c r="C2" s="1" t="s">
        <v>1</v>
      </c>
      <c r="D2" s="1" t="s">
        <v>56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">
      <c r="B3" s="2" t="s">
        <v>4</v>
      </c>
      <c r="C3" s="2" t="s">
        <v>12</v>
      </c>
      <c r="D3" s="2" t="s">
        <v>95</v>
      </c>
      <c r="F3" s="2" t="s">
        <v>9</v>
      </c>
      <c r="G3" s="2" t="s">
        <v>13</v>
      </c>
      <c r="H3" s="2" t="s">
        <v>8</v>
      </c>
      <c r="I3" s="2" t="s">
        <v>17</v>
      </c>
    </row>
    <row r="4" spans="2:9" x14ac:dyDescent="0.3">
      <c r="B4" s="2" t="s">
        <v>5</v>
      </c>
      <c r="C4" s="2" t="s">
        <v>14</v>
      </c>
      <c r="D4" s="2" t="s">
        <v>73</v>
      </c>
      <c r="F4" s="2" t="s">
        <v>10</v>
      </c>
      <c r="G4" s="2" t="s">
        <v>14</v>
      </c>
      <c r="H4" s="2" t="s">
        <v>16</v>
      </c>
      <c r="I4" s="2" t="s">
        <v>18</v>
      </c>
    </row>
    <row r="5" spans="2:9" x14ac:dyDescent="0.3">
      <c r="F5" s="2" t="s">
        <v>11</v>
      </c>
      <c r="G5" s="2" t="s">
        <v>15</v>
      </c>
      <c r="H5" s="6" t="s">
        <v>20</v>
      </c>
      <c r="I5" s="2" t="s">
        <v>19</v>
      </c>
    </row>
    <row r="6" spans="2:9" x14ac:dyDescent="0.3">
      <c r="F6" s="6" t="s">
        <v>12</v>
      </c>
    </row>
    <row r="7" spans="2:9" x14ac:dyDescent="0.3">
      <c r="F7" s="6" t="s">
        <v>93</v>
      </c>
    </row>
    <row r="9" spans="2:9" x14ac:dyDescent="0.3">
      <c r="F9" s="3" t="s">
        <v>1</v>
      </c>
      <c r="G9" s="3" t="s">
        <v>53</v>
      </c>
      <c r="H9" s="3" t="s">
        <v>54</v>
      </c>
      <c r="I9" s="3" t="s">
        <v>55</v>
      </c>
    </row>
    <row r="10" spans="2:9" x14ac:dyDescent="0.3">
      <c r="F10" s="2" t="s">
        <v>9</v>
      </c>
      <c r="G10" s="6" t="s">
        <v>57</v>
      </c>
      <c r="H10" s="10" t="s">
        <v>58</v>
      </c>
      <c r="I10" s="6" t="s">
        <v>59</v>
      </c>
    </row>
    <row r="11" spans="2:9" x14ac:dyDescent="0.3">
      <c r="F11" s="2" t="s">
        <v>13</v>
      </c>
      <c r="G11" s="6" t="s">
        <v>60</v>
      </c>
      <c r="H11" s="10" t="s">
        <v>61</v>
      </c>
      <c r="I11" s="6" t="s">
        <v>62</v>
      </c>
    </row>
    <row r="12" spans="2:9" x14ac:dyDescent="0.3">
      <c r="F12" s="2" t="s">
        <v>8</v>
      </c>
      <c r="G12" s="6" t="s">
        <v>63</v>
      </c>
      <c r="H12" s="10" t="s">
        <v>64</v>
      </c>
      <c r="I12" s="6" t="s">
        <v>65</v>
      </c>
    </row>
    <row r="13" spans="2:9" x14ac:dyDescent="0.3">
      <c r="F13" s="2" t="s">
        <v>17</v>
      </c>
      <c r="G13" s="6" t="s">
        <v>66</v>
      </c>
      <c r="H13" s="10" t="s">
        <v>67</v>
      </c>
      <c r="I13" s="6" t="s">
        <v>68</v>
      </c>
    </row>
    <row r="14" spans="2:9" x14ac:dyDescent="0.3">
      <c r="F14" s="2" t="s">
        <v>10</v>
      </c>
      <c r="G14" s="6" t="s">
        <v>69</v>
      </c>
      <c r="H14" s="10" t="s">
        <v>70</v>
      </c>
      <c r="I14" s="6" t="s">
        <v>71</v>
      </c>
    </row>
    <row r="15" spans="2:9" x14ac:dyDescent="0.3">
      <c r="F15" s="2" t="s">
        <v>14</v>
      </c>
      <c r="G15" s="6" t="s">
        <v>72</v>
      </c>
      <c r="H15" s="10" t="s">
        <v>73</v>
      </c>
      <c r="I15" s="6" t="s">
        <v>74</v>
      </c>
    </row>
    <row r="16" spans="2:9" x14ac:dyDescent="0.3">
      <c r="F16" s="2" t="s">
        <v>16</v>
      </c>
      <c r="G16" s="6" t="s">
        <v>75</v>
      </c>
      <c r="H16" s="10" t="s">
        <v>76</v>
      </c>
      <c r="I16" s="6" t="s">
        <v>77</v>
      </c>
    </row>
    <row r="17" spans="6:9" x14ac:dyDescent="0.3">
      <c r="F17" s="2" t="s">
        <v>18</v>
      </c>
      <c r="G17" s="6" t="s">
        <v>78</v>
      </c>
      <c r="H17" s="10" t="s">
        <v>79</v>
      </c>
      <c r="I17" s="6" t="s">
        <v>80</v>
      </c>
    </row>
    <row r="18" spans="6:9" x14ac:dyDescent="0.3">
      <c r="F18" s="2" t="s">
        <v>11</v>
      </c>
      <c r="G18" s="6" t="s">
        <v>81</v>
      </c>
      <c r="H18" s="6" t="s">
        <v>82</v>
      </c>
      <c r="I18" s="6" t="s">
        <v>83</v>
      </c>
    </row>
    <row r="19" spans="6:9" x14ac:dyDescent="0.3">
      <c r="F19" s="2" t="s">
        <v>15</v>
      </c>
      <c r="G19" s="6" t="s">
        <v>84</v>
      </c>
      <c r="H19" s="6" t="s">
        <v>85</v>
      </c>
      <c r="I19" s="6" t="s">
        <v>86</v>
      </c>
    </row>
    <row r="20" spans="6:9" x14ac:dyDescent="0.3">
      <c r="F20" s="2" t="s">
        <v>20</v>
      </c>
      <c r="G20" s="6" t="s">
        <v>87</v>
      </c>
      <c r="H20" s="6" t="s">
        <v>88</v>
      </c>
      <c r="I20" s="6" t="s">
        <v>89</v>
      </c>
    </row>
    <row r="21" spans="6:9" x14ac:dyDescent="0.3">
      <c r="F21" s="2" t="s">
        <v>19</v>
      </c>
      <c r="G21" s="6" t="s">
        <v>90</v>
      </c>
      <c r="H21" s="6" t="s">
        <v>91</v>
      </c>
      <c r="I21" s="6" t="s">
        <v>92</v>
      </c>
    </row>
    <row r="22" spans="6:9" x14ac:dyDescent="0.3">
      <c r="F22" s="6" t="s">
        <v>12</v>
      </c>
      <c r="G22" s="6" t="s">
        <v>94</v>
      </c>
      <c r="H22" s="6" t="s">
        <v>95</v>
      </c>
      <c r="I22" s="6" t="s">
        <v>96</v>
      </c>
    </row>
    <row r="23" spans="6:9" x14ac:dyDescent="0.3">
      <c r="F23" s="6" t="s">
        <v>93</v>
      </c>
      <c r="G23" s="6" t="s">
        <v>97</v>
      </c>
      <c r="H23" s="6" t="s">
        <v>98</v>
      </c>
      <c r="I23" s="6" t="s">
        <v>99</v>
      </c>
    </row>
  </sheetData>
  <dataValidations count="3">
    <dataValidation type="list" allowBlank="1" showInputMessage="1" showErrorMessage="1" sqref="B3:B4" xr:uid="{82774361-B2A6-4188-B804-A96A587EF2EE}">
      <formula1>$F$2:$I$2</formula1>
    </dataValidation>
    <dataValidation type="list" allowBlank="1" showInputMessage="1" showErrorMessage="1" sqref="C3:C4" xr:uid="{7C97FB89-D268-432F-BF88-C2EFC1E57BE0}">
      <formula1>_xlfn.XLOOKUP(B3,$F$2:$I$2,$F$3:$I$7)</formula1>
    </dataValidation>
    <dataValidation type="list" allowBlank="1" showInputMessage="1" showErrorMessage="1" sqref="D3:D4" xr:uid="{276AF53F-67F2-4009-8F48-0069E0E8B3A4}">
      <formula1>_xlfn.XLOOKUP(C3,$F$10:$F$23,$G$10:$I$23)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D55F-3998-42C2-A7D8-2F087894A5FF}">
  <dimension ref="B2:I19"/>
  <sheetViews>
    <sheetView zoomScale="81" zoomScaleNormal="130" workbookViewId="0">
      <selection activeCell="C16" sqref="C16"/>
    </sheetView>
  </sheetViews>
  <sheetFormatPr defaultColWidth="10.796875" defaultRowHeight="14.4" x14ac:dyDescent="0.3"/>
  <cols>
    <col min="1" max="1" width="5.19921875" style="2" customWidth="1"/>
    <col min="2" max="2" width="11.296875" style="2" bestFit="1" customWidth="1"/>
    <col min="3" max="3" width="18.5" style="2" bestFit="1" customWidth="1"/>
    <col min="4" max="4" width="10.796875" style="2"/>
    <col min="5" max="5" width="10" style="2" customWidth="1"/>
    <col min="6" max="6" width="9.69921875" style="2" customWidth="1"/>
    <col min="7" max="8" width="12.5" style="2" bestFit="1" customWidth="1"/>
    <col min="9" max="9" width="19.5" style="2" bestFit="1" customWidth="1"/>
    <col min="10" max="16384" width="10.796875" style="2"/>
  </cols>
  <sheetData>
    <row r="2" spans="2:9" x14ac:dyDescent="0.3">
      <c r="B2" s="7" t="s">
        <v>46</v>
      </c>
      <c r="C2" s="11" t="s">
        <v>6</v>
      </c>
      <c r="E2" s="3" t="s">
        <v>4</v>
      </c>
      <c r="F2" s="3" t="s">
        <v>5</v>
      </c>
      <c r="G2" s="3" t="s">
        <v>6</v>
      </c>
      <c r="H2" s="3" t="s">
        <v>7</v>
      </c>
    </row>
    <row r="3" spans="2:9" x14ac:dyDescent="0.3">
      <c r="C3" s="9"/>
      <c r="E3" s="2" t="s">
        <v>9</v>
      </c>
      <c r="F3" s="2" t="s">
        <v>13</v>
      </c>
      <c r="G3" s="2" t="s">
        <v>8</v>
      </c>
      <c r="H3" s="2" t="s">
        <v>17</v>
      </c>
    </row>
    <row r="4" spans="2:9" x14ac:dyDescent="0.3">
      <c r="B4" s="7" t="s">
        <v>47</v>
      </c>
      <c r="C4" s="11" t="s">
        <v>14</v>
      </c>
      <c r="E4" s="2" t="s">
        <v>10</v>
      </c>
      <c r="F4" s="2" t="s">
        <v>14</v>
      </c>
      <c r="G4" s="2" t="s">
        <v>16</v>
      </c>
      <c r="H4" s="2" t="s">
        <v>18</v>
      </c>
    </row>
    <row r="5" spans="2:9" x14ac:dyDescent="0.3">
      <c r="E5" s="2" t="s">
        <v>11</v>
      </c>
      <c r="F5" s="2" t="s">
        <v>15</v>
      </c>
      <c r="G5" s="6" t="s">
        <v>20</v>
      </c>
      <c r="H5" s="2" t="s">
        <v>19</v>
      </c>
    </row>
    <row r="6" spans="2:9" x14ac:dyDescent="0.3">
      <c r="B6" s="7" t="s">
        <v>51</v>
      </c>
      <c r="C6" s="5" cm="1">
        <f t="array" ref="C6:C9">TRANSPOSE(_xlfn.XLOOKUP(C4,E8:E19,F8:I19))</f>
        <v>24425</v>
      </c>
    </row>
    <row r="7" spans="2:9" x14ac:dyDescent="0.3">
      <c r="B7" s="7" t="s">
        <v>50</v>
      </c>
      <c r="C7" s="4">
        <v>0.3</v>
      </c>
      <c r="E7" s="3" t="s">
        <v>1</v>
      </c>
      <c r="F7" s="3" t="s">
        <v>0</v>
      </c>
      <c r="G7" s="3" t="s">
        <v>52</v>
      </c>
      <c r="H7" s="3" t="s">
        <v>3</v>
      </c>
      <c r="I7" s="3" t="s">
        <v>33</v>
      </c>
    </row>
    <row r="8" spans="2:9" x14ac:dyDescent="0.3">
      <c r="B8" s="7" t="s">
        <v>48</v>
      </c>
      <c r="C8" s="9" t="str">
        <v>Mike Trouth</v>
      </c>
      <c r="E8" s="2" t="s">
        <v>9</v>
      </c>
      <c r="F8" s="5">
        <v>80986</v>
      </c>
      <c r="G8" s="4">
        <v>0.25</v>
      </c>
      <c r="H8" s="6" t="s">
        <v>21</v>
      </c>
      <c r="I8" s="8" t="s">
        <v>35</v>
      </c>
    </row>
    <row r="9" spans="2:9" x14ac:dyDescent="0.3">
      <c r="B9" s="7" t="s">
        <v>49</v>
      </c>
      <c r="C9" s="9" t="str">
        <v>Mike.trouth@abc.com</v>
      </c>
      <c r="E9" s="2" t="s">
        <v>13</v>
      </c>
      <c r="F9" s="5">
        <v>17759</v>
      </c>
      <c r="G9" s="4">
        <v>0.28000000000000003</v>
      </c>
      <c r="H9" s="6" t="s">
        <v>25</v>
      </c>
      <c r="I9" s="8" t="s">
        <v>36</v>
      </c>
    </row>
    <row r="10" spans="2:9" x14ac:dyDescent="0.3">
      <c r="E10" s="2" t="s">
        <v>8</v>
      </c>
      <c r="F10" s="5">
        <v>19558</v>
      </c>
      <c r="G10" s="4">
        <v>0.15</v>
      </c>
      <c r="H10" s="6" t="s">
        <v>22</v>
      </c>
      <c r="I10" s="8" t="s">
        <v>34</v>
      </c>
    </row>
    <row r="11" spans="2:9" x14ac:dyDescent="0.3">
      <c r="E11" s="2" t="s">
        <v>17</v>
      </c>
      <c r="F11" s="5">
        <v>63023</v>
      </c>
      <c r="G11" s="4">
        <v>0.28999999999999998</v>
      </c>
      <c r="H11" s="6" t="s">
        <v>23</v>
      </c>
      <c r="I11" s="8" t="s">
        <v>37</v>
      </c>
    </row>
    <row r="12" spans="2:9" x14ac:dyDescent="0.3">
      <c r="C12" s="2">
        <f>COUNTIFS(_xlfn.XLOOKUP(C2,E2:H2,E3:H5),C4)</f>
        <v>0</v>
      </c>
      <c r="E12" s="2" t="s">
        <v>10</v>
      </c>
      <c r="F12" s="5">
        <v>63467</v>
      </c>
      <c r="G12" s="4">
        <v>0.3</v>
      </c>
      <c r="H12" s="6" t="s">
        <v>24</v>
      </c>
      <c r="I12" s="8" t="s">
        <v>38</v>
      </c>
    </row>
    <row r="13" spans="2:9" x14ac:dyDescent="0.3">
      <c r="E13" s="2" t="s">
        <v>14</v>
      </c>
      <c r="F13" s="5">
        <v>24425</v>
      </c>
      <c r="G13" s="4">
        <v>0.3</v>
      </c>
      <c r="H13" s="6" t="s">
        <v>26</v>
      </c>
      <c r="I13" s="8" t="s">
        <v>39</v>
      </c>
    </row>
    <row r="14" spans="2:9" x14ac:dyDescent="0.3">
      <c r="E14" s="2" t="s">
        <v>16</v>
      </c>
      <c r="F14" s="5">
        <v>85135</v>
      </c>
      <c r="G14" s="4">
        <v>0.26</v>
      </c>
      <c r="H14" s="6" t="s">
        <v>27</v>
      </c>
      <c r="I14" s="8" t="s">
        <v>40</v>
      </c>
    </row>
    <row r="15" spans="2:9" x14ac:dyDescent="0.3">
      <c r="E15" s="2" t="s">
        <v>18</v>
      </c>
      <c r="F15" s="5">
        <v>87700</v>
      </c>
      <c r="G15" s="4">
        <v>0.28000000000000003</v>
      </c>
      <c r="H15" s="6" t="s">
        <v>28</v>
      </c>
      <c r="I15" s="8" t="s">
        <v>41</v>
      </c>
    </row>
    <row r="16" spans="2:9" x14ac:dyDescent="0.3">
      <c r="E16" s="2" t="s">
        <v>11</v>
      </c>
      <c r="F16" s="5">
        <v>25146</v>
      </c>
      <c r="G16" s="4">
        <v>0.35</v>
      </c>
      <c r="H16" s="6" t="s">
        <v>29</v>
      </c>
      <c r="I16" s="8" t="s">
        <v>42</v>
      </c>
    </row>
    <row r="17" spans="5:9" x14ac:dyDescent="0.3">
      <c r="E17" s="2" t="s">
        <v>15</v>
      </c>
      <c r="F17" s="5">
        <v>85144</v>
      </c>
      <c r="G17" s="4">
        <v>0.16</v>
      </c>
      <c r="H17" s="6" t="s">
        <v>30</v>
      </c>
      <c r="I17" s="8" t="s">
        <v>43</v>
      </c>
    </row>
    <row r="18" spans="5:9" x14ac:dyDescent="0.3">
      <c r="E18" s="2" t="s">
        <v>20</v>
      </c>
      <c r="F18" s="5">
        <v>62551</v>
      </c>
      <c r="G18" s="4">
        <v>0.22</v>
      </c>
      <c r="H18" s="6" t="s">
        <v>31</v>
      </c>
      <c r="I18" s="8" t="s">
        <v>44</v>
      </c>
    </row>
    <row r="19" spans="5:9" x14ac:dyDescent="0.3">
      <c r="E19" s="2" t="s">
        <v>19</v>
      </c>
      <c r="F19" s="5">
        <v>26034</v>
      </c>
      <c r="G19" s="4">
        <v>0.31</v>
      </c>
      <c r="H19" s="6" t="s">
        <v>32</v>
      </c>
      <c r="I19" s="8" t="s">
        <v>45</v>
      </c>
    </row>
  </sheetData>
  <conditionalFormatting sqref="C13">
    <cfRule type="expression" dxfId="0" priority="1">
      <formula>COUNTIFS(_xlfn.XLOOKUP(C2,E2:H2,E3:H5),C4)=0</formula>
    </cfRule>
  </conditionalFormatting>
  <dataValidations count="2">
    <dataValidation type="list" allowBlank="1" showInputMessage="1" showErrorMessage="1" sqref="C2" xr:uid="{89B7D3D7-B4BA-4DEB-B996-3121EC1D85E2}">
      <formula1>$E$2:$H$2</formula1>
    </dataValidation>
    <dataValidation type="list" allowBlank="1" showInputMessage="1" showErrorMessage="1" sqref="C4" xr:uid="{9E6CCE36-42B0-43E3-AC3A-8851D9B72BBB}">
      <formula1>_xlfn.XLOOKUP(C2,$E$2:$H$2,$E$3:$H$5)</formula1>
    </dataValidation>
  </dataValidations>
  <hyperlinks>
    <hyperlink ref="I8" r:id="rId1" xr:uid="{72DAD3BB-3157-451F-A98D-71C87E5D3316}"/>
    <hyperlink ref="I9" r:id="rId2" xr:uid="{E28B0BAD-7A4A-4E22-8706-768D96EAF6AA}"/>
    <hyperlink ref="I10" r:id="rId3" xr:uid="{EBE96A4A-E9FF-43D5-8A35-2F10238424A0}"/>
    <hyperlink ref="I11" r:id="rId4" xr:uid="{6E0946BD-FA29-4AD3-A7EC-D5483A5C2A09}"/>
    <hyperlink ref="I12" r:id="rId5" xr:uid="{AA8F0B3A-5A9D-4040-A89A-991A2740077B}"/>
    <hyperlink ref="I13" r:id="rId6" xr:uid="{19B782F7-ED02-4159-AE2B-B8F33C655E44}"/>
    <hyperlink ref="I14" r:id="rId7" xr:uid="{2548B509-CDBE-4B99-9C51-543287A4909B}"/>
    <hyperlink ref="I15" r:id="rId8" xr:uid="{3DF74151-F88C-4F64-B2BE-A753C585C524}"/>
    <hyperlink ref="I16" r:id="rId9" xr:uid="{1CA909BF-F4F7-4E14-8FC5-39FEFE7045A2}"/>
    <hyperlink ref="I17" r:id="rId10" xr:uid="{77DBA91F-80B2-4220-997F-CF06DB8F7E10}"/>
    <hyperlink ref="I18" r:id="rId11" xr:uid="{A4E50A6F-E18B-47B3-A1CA-399638D9C39A}"/>
    <hyperlink ref="I19" r:id="rId12" xr:uid="{460EEC91-3E4D-4F7D-8A17-9A3821978B5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8719-4870-4504-AE98-A662D9E6E5A3}">
  <dimension ref="A2:I23"/>
  <sheetViews>
    <sheetView zoomScale="130" zoomScaleNormal="130" workbookViewId="0">
      <selection activeCell="C14" sqref="C14"/>
    </sheetView>
  </sheetViews>
  <sheetFormatPr defaultColWidth="10.796875" defaultRowHeight="14.4" x14ac:dyDescent="0.3"/>
  <cols>
    <col min="1" max="1" width="5.5" style="2" customWidth="1"/>
    <col min="2" max="2" width="11.296875" style="2" bestFit="1" customWidth="1"/>
    <col min="3" max="3" width="19" style="2" customWidth="1"/>
    <col min="4" max="4" width="9" style="2" customWidth="1"/>
    <col min="5" max="5" width="9.69921875" style="2" customWidth="1"/>
    <col min="6" max="6" width="9.5" style="2" customWidth="1"/>
    <col min="7" max="8" width="12.5" style="2" bestFit="1" customWidth="1"/>
    <col min="9" max="9" width="19.5" style="2" bestFit="1" customWidth="1"/>
    <col min="10" max="16384" width="10.796875" style="2"/>
  </cols>
  <sheetData>
    <row r="2" spans="1:9" x14ac:dyDescent="0.3">
      <c r="B2" s="7" t="s">
        <v>46</v>
      </c>
      <c r="C2" s="11" t="s">
        <v>6</v>
      </c>
      <c r="E2" s="3" t="s">
        <v>4</v>
      </c>
      <c r="F2" s="3" t="s">
        <v>5</v>
      </c>
      <c r="G2" s="3" t="s">
        <v>6</v>
      </c>
      <c r="H2" s="3" t="s">
        <v>7</v>
      </c>
    </row>
    <row r="3" spans="1:9" x14ac:dyDescent="0.3">
      <c r="C3" s="9"/>
      <c r="E3" s="2" t="s">
        <v>9</v>
      </c>
      <c r="F3" s="2" t="s">
        <v>13</v>
      </c>
      <c r="G3" s="2" t="s">
        <v>8</v>
      </c>
      <c r="H3" s="2" t="s">
        <v>17</v>
      </c>
    </row>
    <row r="4" spans="1:9" x14ac:dyDescent="0.3">
      <c r="B4" s="7" t="s">
        <v>47</v>
      </c>
      <c r="C4" s="11" t="s">
        <v>20</v>
      </c>
      <c r="E4" s="2" t="s">
        <v>10</v>
      </c>
      <c r="F4" s="2" t="s">
        <v>14</v>
      </c>
      <c r="G4" s="2" t="s">
        <v>16</v>
      </c>
      <c r="H4" s="2" t="s">
        <v>18</v>
      </c>
    </row>
    <row r="5" spans="1:9" x14ac:dyDescent="0.3">
      <c r="E5" s="2" t="s">
        <v>11</v>
      </c>
      <c r="F5" s="2" t="s">
        <v>15</v>
      </c>
      <c r="G5" s="6" t="s">
        <v>20</v>
      </c>
      <c r="H5" s="2" t="s">
        <v>19</v>
      </c>
    </row>
    <row r="6" spans="1:9" x14ac:dyDescent="0.3">
      <c r="B6" s="7" t="s">
        <v>51</v>
      </c>
      <c r="C6" s="5" cm="1">
        <f t="array" ref="C6:C9">TRANSPOSE(_xlfn.XLOOKUP(C4,E8:E19,F8:I19))</f>
        <v>62551</v>
      </c>
    </row>
    <row r="7" spans="1:9" x14ac:dyDescent="0.3">
      <c r="B7" s="7" t="s">
        <v>50</v>
      </c>
      <c r="C7" s="4">
        <v>0.22</v>
      </c>
      <c r="E7" s="3" t="s">
        <v>1</v>
      </c>
      <c r="F7" s="3" t="s">
        <v>0</v>
      </c>
      <c r="G7" s="3" t="s">
        <v>52</v>
      </c>
      <c r="H7" s="3" t="s">
        <v>3</v>
      </c>
      <c r="I7" s="3" t="s">
        <v>33</v>
      </c>
    </row>
    <row r="8" spans="1:9" x14ac:dyDescent="0.3">
      <c r="B8" s="7" t="s">
        <v>48</v>
      </c>
      <c r="C8" s="9" t="str">
        <v>Alexis Sanchez</v>
      </c>
      <c r="E8" s="2" t="s">
        <v>9</v>
      </c>
      <c r="F8" s="5">
        <v>80986</v>
      </c>
      <c r="G8" s="4">
        <v>0.25</v>
      </c>
      <c r="H8" s="6" t="s">
        <v>21</v>
      </c>
      <c r="I8" s="8" t="s">
        <v>35</v>
      </c>
    </row>
    <row r="9" spans="1:9" x14ac:dyDescent="0.3">
      <c r="B9" s="7" t="s">
        <v>49</v>
      </c>
      <c r="C9" s="9" t="str">
        <v>Alexis.sanchez@abc.com</v>
      </c>
      <c r="E9" s="2" t="s">
        <v>13</v>
      </c>
      <c r="F9" s="5">
        <v>17759</v>
      </c>
      <c r="G9" s="4">
        <v>0.28000000000000003</v>
      </c>
      <c r="H9" s="6" t="s">
        <v>25</v>
      </c>
      <c r="I9" s="8" t="s">
        <v>36</v>
      </c>
    </row>
    <row r="10" spans="1:9" x14ac:dyDescent="0.3">
      <c r="E10" s="2" t="s">
        <v>8</v>
      </c>
      <c r="F10" s="5">
        <v>19558</v>
      </c>
      <c r="G10" s="4">
        <v>0.15</v>
      </c>
      <c r="H10" s="6" t="s">
        <v>22</v>
      </c>
      <c r="I10" s="8" t="s">
        <v>34</v>
      </c>
    </row>
    <row r="11" spans="1:9" ht="15.6" x14ac:dyDescent="0.3">
      <c r="A11"/>
      <c r="E11" s="2" t="s">
        <v>17</v>
      </c>
      <c r="F11" s="5">
        <v>63023</v>
      </c>
      <c r="G11" s="4">
        <v>0.28999999999999998</v>
      </c>
      <c r="H11" s="6" t="s">
        <v>23</v>
      </c>
      <c r="I11" s="8" t="s">
        <v>37</v>
      </c>
    </row>
    <row r="12" spans="1:9" x14ac:dyDescent="0.3">
      <c r="E12" s="2" t="s">
        <v>10</v>
      </c>
      <c r="F12" s="5">
        <v>63467</v>
      </c>
      <c r="G12" s="4">
        <v>0.3</v>
      </c>
      <c r="H12" s="6" t="s">
        <v>24</v>
      </c>
      <c r="I12" s="8" t="s">
        <v>38</v>
      </c>
    </row>
    <row r="13" spans="1:9" x14ac:dyDescent="0.3">
      <c r="C13" s="2">
        <f>COUNTIFS(_xlfn.XLOOKUP(C2,E2:H2,E3:H5),C4)</f>
        <v>1</v>
      </c>
      <c r="E13" s="2" t="s">
        <v>14</v>
      </c>
      <c r="F13" s="5">
        <v>24425</v>
      </c>
      <c r="G13" s="4">
        <v>0.3</v>
      </c>
      <c r="H13" s="6" t="s">
        <v>26</v>
      </c>
      <c r="I13" s="8" t="s">
        <v>39</v>
      </c>
    </row>
    <row r="14" spans="1:9" x14ac:dyDescent="0.3">
      <c r="E14" s="2" t="s">
        <v>16</v>
      </c>
      <c r="F14" s="5">
        <v>85135</v>
      </c>
      <c r="G14" s="4">
        <v>0.26</v>
      </c>
      <c r="H14" s="6" t="s">
        <v>27</v>
      </c>
      <c r="I14" s="8" t="s">
        <v>40</v>
      </c>
    </row>
    <row r="15" spans="1:9" x14ac:dyDescent="0.3">
      <c r="E15" s="2" t="s">
        <v>18</v>
      </c>
      <c r="F15" s="5">
        <v>87700</v>
      </c>
      <c r="G15" s="4">
        <v>0.28000000000000003</v>
      </c>
      <c r="H15" s="6" t="s">
        <v>28</v>
      </c>
      <c r="I15" s="8" t="s">
        <v>41</v>
      </c>
    </row>
    <row r="16" spans="1:9" x14ac:dyDescent="0.3">
      <c r="E16" s="2" t="s">
        <v>11</v>
      </c>
      <c r="F16" s="5">
        <v>25146</v>
      </c>
      <c r="G16" s="4">
        <v>0.35</v>
      </c>
      <c r="H16" s="6" t="s">
        <v>29</v>
      </c>
      <c r="I16" s="8" t="s">
        <v>42</v>
      </c>
    </row>
    <row r="17" spans="1:9" x14ac:dyDescent="0.3">
      <c r="A17" s="12"/>
      <c r="B17" s="12"/>
      <c r="C17" s="12"/>
      <c r="E17" s="2" t="s">
        <v>15</v>
      </c>
      <c r="F17" s="5">
        <v>85144</v>
      </c>
      <c r="G17" s="4">
        <v>0.16</v>
      </c>
      <c r="H17" s="6" t="s">
        <v>30</v>
      </c>
      <c r="I17" s="8" t="s">
        <v>43</v>
      </c>
    </row>
    <row r="18" spans="1:9" ht="15.6" x14ac:dyDescent="0.3">
      <c r="A18"/>
      <c r="B18" s="12"/>
      <c r="C18" s="12"/>
      <c r="E18" s="2" t="s">
        <v>20</v>
      </c>
      <c r="F18" s="5">
        <v>62551</v>
      </c>
      <c r="G18" s="4">
        <v>0.22</v>
      </c>
      <c r="H18" s="6" t="s">
        <v>31</v>
      </c>
      <c r="I18" s="8" t="s">
        <v>44</v>
      </c>
    </row>
    <row r="19" spans="1:9" x14ac:dyDescent="0.3">
      <c r="A19" s="12"/>
      <c r="B19" s="12"/>
      <c r="C19" s="12"/>
      <c r="E19" s="2" t="s">
        <v>19</v>
      </c>
      <c r="F19" s="5">
        <v>26034</v>
      </c>
      <c r="G19" s="4">
        <v>0.31</v>
      </c>
      <c r="H19" s="6" t="s">
        <v>32</v>
      </c>
      <c r="I19" s="8" t="s">
        <v>45</v>
      </c>
    </row>
    <row r="20" spans="1:9" x14ac:dyDescent="0.3">
      <c r="A20" s="12"/>
      <c r="B20" s="12"/>
      <c r="C20" s="12"/>
    </row>
    <row r="21" spans="1:9" x14ac:dyDescent="0.3">
      <c r="A21" s="12"/>
      <c r="B21" s="12"/>
      <c r="C21" s="12"/>
    </row>
    <row r="22" spans="1:9" x14ac:dyDescent="0.3">
      <c r="A22" s="12"/>
      <c r="B22" s="12"/>
      <c r="C22" s="12"/>
    </row>
    <row r="23" spans="1:9" x14ac:dyDescent="0.3">
      <c r="A23" s="12"/>
      <c r="B23" s="12"/>
      <c r="C23" s="12"/>
    </row>
  </sheetData>
  <dataValidations count="2">
    <dataValidation type="list" allowBlank="1" showInputMessage="1" showErrorMessage="1" sqref="C4" xr:uid="{144B18B3-D8F4-47CC-9319-692D7B88C134}">
      <formula1>_xlfn.XLOOKUP(C2,$E$2:$H$2,$E$3:$H$5)</formula1>
    </dataValidation>
    <dataValidation type="list" allowBlank="1" showInputMessage="1" showErrorMessage="1" sqref="C2" xr:uid="{8733ECB7-5F5F-4467-B138-1301C0C5D811}">
      <formula1>$E$2:$H$2</formula1>
    </dataValidation>
  </dataValidations>
  <hyperlinks>
    <hyperlink ref="I8" r:id="rId1" xr:uid="{17C887F5-8CBA-41C5-B45E-C91FC1A31CB2}"/>
    <hyperlink ref="I9" r:id="rId2" xr:uid="{F9C51E17-A934-48FA-A2A6-BA6C9C6BB6E6}"/>
    <hyperlink ref="I10" r:id="rId3" xr:uid="{E66F084B-54A3-47B4-B608-CEE4EB2D2ED3}"/>
    <hyperlink ref="I11" r:id="rId4" xr:uid="{91175083-0DFD-45B8-9CC3-5F2BDCB9E93C}"/>
    <hyperlink ref="I12" r:id="rId5" xr:uid="{AB55A808-4048-4515-B38E-7E49320F060A}"/>
    <hyperlink ref="I13" r:id="rId6" xr:uid="{2E1D92CA-01D6-4592-A973-21FEB3EDE549}"/>
    <hyperlink ref="I14" r:id="rId7" xr:uid="{370D53A1-1E8C-4440-99A1-E3BEDA97D4C0}"/>
    <hyperlink ref="I15" r:id="rId8" xr:uid="{A75E2973-DEAE-4745-8EDC-C68F71BB6D29}"/>
    <hyperlink ref="I16" r:id="rId9" xr:uid="{0A78B401-A9A8-48DB-AA37-69087F3A48CD}"/>
    <hyperlink ref="I17" r:id="rId10" xr:uid="{D88691C8-C761-4F6F-A00B-6DAAD01964B3}"/>
    <hyperlink ref="I18" r:id="rId11" xr:uid="{56EBB3A0-5D51-4D98-A783-A5B4433D07DB}"/>
    <hyperlink ref="I19" r:id="rId12" xr:uid="{A60DD67B-D2FB-42E5-AEAD-A835448F27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B59B-E246-4703-89C7-4119E1052A4C}">
  <dimension ref="A1:A5"/>
  <sheetViews>
    <sheetView tabSelected="1" workbookViewId="0">
      <selection activeCell="A9" sqref="A9"/>
    </sheetView>
  </sheetViews>
  <sheetFormatPr defaultRowHeight="15.6" x14ac:dyDescent="0.3"/>
  <sheetData>
    <row r="1" spans="1:1" x14ac:dyDescent="0.3">
      <c r="A1" t="s">
        <v>100</v>
      </c>
    </row>
    <row r="2" spans="1:1" x14ac:dyDescent="0.3">
      <c r="A2" s="13" t="s">
        <v>101</v>
      </c>
    </row>
    <row r="3" spans="1:1" x14ac:dyDescent="0.3">
      <c r="A3" t="s">
        <v>102</v>
      </c>
    </row>
    <row r="4" spans="1:1" x14ac:dyDescent="0.3">
      <c r="A4" s="13" t="s">
        <v>103</v>
      </c>
    </row>
    <row r="5" spans="1:1" x14ac:dyDescent="0.3">
      <c r="A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2023-06-26T08:12:19Z</dcterms:created>
  <dcterms:modified xsi:type="dcterms:W3CDTF">2026-01-27T16:45:33Z</dcterms:modified>
</cp:coreProperties>
</file>