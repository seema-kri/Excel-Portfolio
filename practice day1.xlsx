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8692590cf0392b3/Attachments/Desktop/data.me/Excel/"/>
    </mc:Choice>
  </mc:AlternateContent>
  <xr:revisionPtr revIDLastSave="1" documentId="8_{14D412D9-2684-480A-B08A-69F4DA8DC087}" xr6:coauthVersionLast="47" xr6:coauthVersionMax="47" xr10:uidLastSave="{1683B525-B13A-43F9-A82A-BF20E6FE764A}"/>
  <bookViews>
    <workbookView xWindow="-108" yWindow="-108" windowWidth="23256" windowHeight="12456" activeTab="2" xr2:uid="{25DFCDC3-516D-4013-A8E3-0B057D7C4DE3}"/>
  </bookViews>
  <sheets>
    <sheet name="Data" sheetId="3" r:id="rId1"/>
    <sheet name="Sales" sheetId="1" r:id="rId2"/>
    <sheet name="summary" sheetId="2" r:id="rId3"/>
  </sheets>
  <definedNames>
    <definedName name="_xlnm._FilterDatabase" localSheetId="1" hidden="1">Sales!$A$1:$E$9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D3" i="2"/>
  <c r="D4" i="2"/>
  <c r="D5" i="2"/>
  <c r="D2" i="2"/>
  <c r="B3" i="2"/>
  <c r="B4" i="2"/>
  <c r="B5" i="2"/>
  <c r="B2" i="2"/>
  <c r="G12" i="1"/>
  <c r="H2" i="1" a="1"/>
  <c r="H2" i="1" s="1"/>
  <c r="G3" i="1"/>
  <c r="D13" i="1"/>
  <c r="C13" i="1"/>
  <c r="B13" i="1"/>
  <c r="A13" i="1"/>
  <c r="E3" i="1"/>
  <c r="E4" i="1"/>
  <c r="E5" i="1"/>
  <c r="E6" i="1"/>
  <c r="E7" i="1"/>
  <c r="E8" i="1"/>
  <c r="E9" i="1"/>
  <c r="E2" i="1"/>
  <c r="G2" i="1" s="1"/>
  <c r="G4" i="1" l="1" a="1"/>
  <c r="G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<sst xmlns="http://schemas.openxmlformats.org/spreadsheetml/2006/main" count="55" uniqueCount="21">
  <si>
    <t>Product</t>
  </si>
  <si>
    <t>Units Sold</t>
  </si>
  <si>
    <t>Price per Unit</t>
  </si>
  <si>
    <t>Sales Rep</t>
  </si>
  <si>
    <t>Pen</t>
  </si>
  <si>
    <t>Alice</t>
  </si>
  <si>
    <t>Notebook</t>
  </si>
  <si>
    <t>Bob</t>
  </si>
  <si>
    <t>Pencil</t>
  </si>
  <si>
    <t>Charlie</t>
  </si>
  <si>
    <t>Eraser</t>
  </si>
  <si>
    <t>Total Sales column</t>
  </si>
  <si>
    <t>Total unit sold</t>
  </si>
  <si>
    <t>Avg price per unit</t>
  </si>
  <si>
    <t>Highest total sales</t>
  </si>
  <si>
    <t>Lowest Total sales</t>
  </si>
  <si>
    <t>Non printable</t>
  </si>
  <si>
    <t>uses trim</t>
  </si>
  <si>
    <t>Total Units Sold</t>
  </si>
  <si>
    <t>Total Sales</t>
  </si>
  <si>
    <t>Average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</si>
</sst>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&quot;₹&quot;\ #,##0.00"/>
    <numFmt numFmtId="169" formatCode="#,##0.00;[Red]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8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2" fontId="0" fillId="0" borderId="0" xfId="0" applyNumberFormat="1"/>
    <xf numFmtId="169" fontId="1" fillId="2" borderId="0" xfId="0" applyNumberFormat="1" applyFont="1" applyFill="1" applyAlignment="1">
      <alignment horizontal="center" vertical="center" wrapText="1"/>
    </xf>
    <xf numFmtId="0" fontId="0" fillId="3" borderId="0" xfId="0" applyFill="1" applyAlignment="1">
      <alignment vertical="center" wrapText="1"/>
    </xf>
    <xf numFmtId="0" fontId="0" fillId="3" borderId="0" xfId="0" applyFill="1"/>
    <xf numFmtId="168" fontId="0" fillId="3" borderId="0" xfId="0" applyNumberFormat="1" applyFill="1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10">
    <dxf>
      <fill>
        <patternFill>
          <bgColor theme="0"/>
        </patternFill>
      </fill>
    </dxf>
    <dxf>
      <fill>
        <patternFill>
          <bgColor theme="9"/>
        </patternFill>
      </fill>
    </dxf>
    <dxf>
      <fill>
        <patternFill>
          <bgColor theme="4" tint="0.39994506668294322"/>
        </patternFill>
      </fill>
    </dxf>
    <dxf>
      <fill>
        <patternFill>
          <bgColor theme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solidFill>
                  <a:schemeClr val="tx1"/>
                </a:solidFill>
              </a:rPr>
              <a:t>Total Sales per Product</a:t>
            </a:r>
          </a:p>
        </c:rich>
      </c:tx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9247594050743664E-2"/>
          <c:y val="0.16245370370370371"/>
          <c:w val="0.67003849518810144"/>
          <c:h val="0.7208876494604841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summary!$C$1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Pen</c:v>
                </c:pt>
                <c:pt idx="1">
                  <c:v>Notebook</c:v>
                </c:pt>
                <c:pt idx="2">
                  <c:v>Pencil</c:v>
                </c:pt>
                <c:pt idx="3">
                  <c:v>Eraser</c:v>
                </c:pt>
              </c:strCache>
            </c:strRef>
          </c:cat>
          <c:val>
            <c:numRef>
              <c:f>summary!$C$2:$C$5</c:f>
              <c:numCache>
                <c:formatCode>General</c:formatCode>
                <c:ptCount val="4"/>
                <c:pt idx="0">
                  <c:v>90</c:v>
                </c:pt>
                <c:pt idx="1">
                  <c:v>324</c:v>
                </c:pt>
                <c:pt idx="2">
                  <c:v>90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4E-40CD-AE6C-A1C76ADC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94903695"/>
        <c:axId val="294906095"/>
      </c:barChart>
      <c:barChart>
        <c:barDir val="col"/>
        <c:grouping val="clustere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Total Units 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Pen</c:v>
                </c:pt>
                <c:pt idx="1">
                  <c:v>Notebook</c:v>
                </c:pt>
                <c:pt idx="2">
                  <c:v>Pencil</c:v>
                </c:pt>
                <c:pt idx="3">
                  <c:v>Eraser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18</c:v>
                </c:pt>
                <c:pt idx="1">
                  <c:v>27</c:v>
                </c:pt>
                <c:pt idx="2">
                  <c:v>45</c:v>
                </c:pt>
                <c:pt idx="3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E-40CD-AE6C-A1C76ADCC55E}"/>
            </c:ext>
          </c:extLst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Average Price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summary!$A$2:$A$5</c:f>
              <c:strCache>
                <c:ptCount val="4"/>
                <c:pt idx="0">
                  <c:v>Pen</c:v>
                </c:pt>
                <c:pt idx="1">
                  <c:v>Notebook</c:v>
                </c:pt>
                <c:pt idx="2">
                  <c:v>Pencil</c:v>
                </c:pt>
                <c:pt idx="3">
                  <c:v>Eraser</c:v>
                </c:pt>
              </c:strCache>
            </c:strRef>
          </c:cat>
          <c:val>
            <c:numRef>
              <c:f>summary!$D$2:$D$5</c:f>
              <c:numCache>
                <c:formatCode>General</c:formatCode>
                <c:ptCount val="4"/>
                <c:pt idx="0">
                  <c:v>5</c:v>
                </c:pt>
                <c:pt idx="1">
                  <c:v>12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4E-40CD-AE6C-A1C76ADCC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4045359"/>
        <c:axId val="464042959"/>
      </c:barChart>
      <c:catAx>
        <c:axId val="29490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06095"/>
        <c:crosses val="autoZero"/>
        <c:auto val="1"/>
        <c:lblAlgn val="ctr"/>
        <c:lblOffset val="100"/>
        <c:noMultiLvlLbl val="0"/>
      </c:catAx>
      <c:valAx>
        <c:axId val="294906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903695"/>
        <c:crosses val="autoZero"/>
        <c:crossBetween val="between"/>
      </c:valAx>
      <c:valAx>
        <c:axId val="464042959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464045359"/>
        <c:crosses val="max"/>
        <c:crossBetween val="between"/>
      </c:valAx>
      <c:catAx>
        <c:axId val="46404535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640429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45692535665518"/>
          <c:y val="0.31820501603966173"/>
          <c:w val="0.22526755188811731"/>
          <c:h val="0.234376640419947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396240</xdr:colOff>
      <xdr:row>0</xdr:row>
      <xdr:rowOff>0</xdr:rowOff>
    </xdr:from>
    <xdr:to>
      <xdr:col>13</xdr:col>
      <xdr:colOff>259080</xdr:colOff>
      <xdr:row>14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627599-9088-4E69-465B-0F9AC53CD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78B5C-1030-4281-8A9F-0FBF1B7CC4BF}" name="Table1" displayName="Table1" ref="A1:D5" totalsRowShown="0" headerRowDxfId="4" dataDxfId="5">
  <autoFilter ref="A1:D5" xr:uid="{D5B78B5C-1030-4281-8A9F-0FBF1B7CC4BF}">
    <filterColumn colId="0" hiddenButton="1"/>
    <filterColumn colId="1" hiddenButton="1"/>
    <filterColumn colId="2" hiddenButton="1"/>
    <filterColumn colId="3" hiddenButton="1"/>
  </autoFilter>
  <tableColumns count="4">
    <tableColumn id="1" xr3:uid="{80EF113E-E389-4496-B9CC-B33239E4BC62}" name="Product" dataDxfId="9"/>
    <tableColumn id="2" xr3:uid="{B537BD14-AE83-497D-9E6F-0DF87952C1E2}" name="Total Units Sold" dataDxfId="8">
      <calculatedColumnFormula>SUMIF(Sales!A:A, A2, Sales!B:B)</calculatedColumnFormula>
    </tableColumn>
    <tableColumn id="3" xr3:uid="{37E65788-AF5F-4166-AFDC-7B414ECD0E98}" name="Total Sales" dataDxfId="7">
      <calculatedColumnFormula>SUMIF(Sales!A:A,A2,Sales!E:DE)</calculatedColumnFormula>
    </tableColumn>
    <tableColumn id="4" xr3:uid="{1A300A8D-BCC0-4576-AA39-1D34663C1EE5}" name="Average Price" dataDxfId="6">
      <calculatedColumnFormula>AVERAGEIF(Sales!A:A, A2, Sales!C:C)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A729C-2236-44F1-B271-C4E6ECBC22BC}">
  <dimension ref="A1:D9"/>
  <sheetViews>
    <sheetView workbookViewId="0">
      <selection activeCell="F7" sqref="F7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10</v>
      </c>
      <c r="C2" s="2">
        <v>5</v>
      </c>
      <c r="D2" s="2" t="s">
        <v>5</v>
      </c>
    </row>
    <row r="3" spans="1:4" ht="28.8" x14ac:dyDescent="0.3">
      <c r="A3" s="2" t="s">
        <v>6</v>
      </c>
      <c r="B3" s="2">
        <v>15</v>
      </c>
      <c r="C3" s="2">
        <v>12</v>
      </c>
      <c r="D3" s="2" t="s">
        <v>7</v>
      </c>
    </row>
    <row r="4" spans="1:4" x14ac:dyDescent="0.3">
      <c r="A4" s="2" t="s">
        <v>8</v>
      </c>
      <c r="B4" s="2">
        <v>20</v>
      </c>
      <c r="C4" s="2">
        <v>2</v>
      </c>
      <c r="D4" s="2" t="s">
        <v>9</v>
      </c>
    </row>
    <row r="5" spans="1:4" x14ac:dyDescent="0.3">
      <c r="A5" s="2" t="s">
        <v>10</v>
      </c>
      <c r="B5" s="2">
        <v>5</v>
      </c>
      <c r="C5" s="2">
        <v>1</v>
      </c>
      <c r="D5" s="2" t="s">
        <v>5</v>
      </c>
    </row>
    <row r="6" spans="1:4" x14ac:dyDescent="0.3">
      <c r="A6" s="2" t="s">
        <v>4</v>
      </c>
      <c r="B6" s="2">
        <v>8</v>
      </c>
      <c r="C6" s="2">
        <v>5</v>
      </c>
      <c r="D6" s="2" t="s">
        <v>7</v>
      </c>
    </row>
    <row r="7" spans="1:4" ht="28.8" x14ac:dyDescent="0.3">
      <c r="A7" s="2" t="s">
        <v>6</v>
      </c>
      <c r="B7" s="2">
        <v>12</v>
      </c>
      <c r="C7" s="2">
        <v>12</v>
      </c>
      <c r="D7" s="2" t="s">
        <v>9</v>
      </c>
    </row>
    <row r="8" spans="1:4" x14ac:dyDescent="0.3">
      <c r="A8" s="2" t="s">
        <v>8</v>
      </c>
      <c r="B8" s="2">
        <v>25</v>
      </c>
      <c r="C8" s="2">
        <v>2</v>
      </c>
      <c r="D8" s="2" t="s">
        <v>5</v>
      </c>
    </row>
    <row r="9" spans="1:4" x14ac:dyDescent="0.3">
      <c r="A9" s="2" t="s">
        <v>10</v>
      </c>
      <c r="B9" s="2">
        <v>7</v>
      </c>
      <c r="C9" s="2">
        <v>1</v>
      </c>
      <c r="D9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47CDB-9EAC-407A-8A3C-DC0860C43873}">
  <dimension ref="A1:Q16"/>
  <sheetViews>
    <sheetView workbookViewId="0">
      <pane ySplit="1" topLeftCell="A2" activePane="bottomLeft" state="frozen"/>
      <selection pane="bottomLeft" activeCell="K7" sqref="K7:Q7"/>
    </sheetView>
  </sheetViews>
  <sheetFormatPr defaultRowHeight="14.4" x14ac:dyDescent="0.3"/>
  <cols>
    <col min="1" max="1" width="12.109375" bestFit="1" customWidth="1"/>
    <col min="2" max="2" width="13.88671875" bestFit="1" customWidth="1"/>
    <col min="3" max="3" width="16.77734375" style="5" bestFit="1" customWidth="1"/>
    <col min="4" max="4" width="13.33203125" bestFit="1" customWidth="1"/>
    <col min="5" max="5" width="19" bestFit="1" customWidth="1"/>
    <col min="8" max="8" width="12.109375" bestFit="1" customWidth="1"/>
  </cols>
  <sheetData>
    <row r="1" spans="1:17" ht="14.4" customHeight="1" x14ac:dyDescent="0.3">
      <c r="A1" s="3" t="s">
        <v>0</v>
      </c>
      <c r="B1" s="3" t="s">
        <v>1</v>
      </c>
      <c r="C1" s="9" t="s">
        <v>2</v>
      </c>
      <c r="D1" s="3" t="s">
        <v>3</v>
      </c>
      <c r="E1" s="7" t="s">
        <v>11</v>
      </c>
      <c r="G1" t="s">
        <v>17</v>
      </c>
      <c r="H1" t="s">
        <v>16</v>
      </c>
    </row>
    <row r="2" spans="1:17" x14ac:dyDescent="0.3">
      <c r="A2" s="2" t="s">
        <v>4</v>
      </c>
      <c r="B2" s="2">
        <v>10</v>
      </c>
      <c r="C2" s="4">
        <v>5</v>
      </c>
      <c r="D2" s="2" t="s">
        <v>5</v>
      </c>
      <c r="E2" s="8">
        <f>B2*C2</f>
        <v>50</v>
      </c>
      <c r="G2" t="str">
        <f>TRIM(E2)</f>
        <v>50</v>
      </c>
      <c r="H2" t="str" cm="1">
        <f t="array" ref="H2:H9">CLEAN(C2:C9)</f>
        <v>5</v>
      </c>
    </row>
    <row r="3" spans="1:17" ht="13.8" customHeight="1" x14ac:dyDescent="0.3">
      <c r="A3" s="2" t="s">
        <v>6</v>
      </c>
      <c r="B3" s="2">
        <v>15</v>
      </c>
      <c r="C3" s="4">
        <v>12</v>
      </c>
      <c r="D3" s="2" t="s">
        <v>7</v>
      </c>
      <c r="E3" s="8">
        <f t="shared" ref="E3:E9" si="0">B3*C3</f>
        <v>180</v>
      </c>
      <c r="G3" t="str">
        <f>TRIM(B13)</f>
        <v>5</v>
      </c>
      <c r="H3" t="str">
        <v>12</v>
      </c>
    </row>
    <row r="4" spans="1:17" x14ac:dyDescent="0.3">
      <c r="A4" s="2" t="s">
        <v>8</v>
      </c>
      <c r="B4" s="2">
        <v>20</v>
      </c>
      <c r="C4" s="4">
        <v>2</v>
      </c>
      <c r="D4" s="2" t="s">
        <v>9</v>
      </c>
      <c r="E4" s="8">
        <f t="shared" si="0"/>
        <v>40</v>
      </c>
      <c r="G4" t="str" cm="1">
        <f t="array" ref="G4:G11">TRIM(E2:E9)</f>
        <v>50</v>
      </c>
      <c r="H4" t="str">
        <v>2</v>
      </c>
    </row>
    <row r="5" spans="1:17" x14ac:dyDescent="0.3">
      <c r="A5" s="2" t="s">
        <v>10</v>
      </c>
      <c r="B5" s="2">
        <v>5</v>
      </c>
      <c r="C5" s="4">
        <v>1</v>
      </c>
      <c r="D5" s="2" t="s">
        <v>5</v>
      </c>
      <c r="E5" s="8">
        <f t="shared" si="0"/>
        <v>5</v>
      </c>
      <c r="G5" t="str">
        <v>180</v>
      </c>
      <c r="H5" t="str">
        <v>1</v>
      </c>
    </row>
    <row r="6" spans="1:17" x14ac:dyDescent="0.3">
      <c r="A6" s="2" t="s">
        <v>4</v>
      </c>
      <c r="B6" s="2">
        <v>8</v>
      </c>
      <c r="C6" s="4">
        <v>5</v>
      </c>
      <c r="D6" s="2" t="s">
        <v>7</v>
      </c>
      <c r="E6" s="8">
        <f t="shared" si="0"/>
        <v>40</v>
      </c>
      <c r="G6" t="str">
        <v>40</v>
      </c>
      <c r="H6" t="str">
        <v>5</v>
      </c>
    </row>
    <row r="7" spans="1:17" ht="15.6" customHeight="1" x14ac:dyDescent="0.3">
      <c r="A7" s="2" t="s">
        <v>6</v>
      </c>
      <c r="B7" s="2">
        <v>12</v>
      </c>
      <c r="C7" s="4">
        <v>12</v>
      </c>
      <c r="D7" s="2" t="s">
        <v>9</v>
      </c>
      <c r="E7" s="8">
        <f t="shared" si="0"/>
        <v>144</v>
      </c>
      <c r="G7" t="str">
        <v>5</v>
      </c>
      <c r="H7" t="str">
        <v>12</v>
      </c>
      <c r="J7" s="14"/>
      <c r="K7" s="13"/>
      <c r="L7" s="6"/>
      <c r="M7" s="6"/>
      <c r="N7" s="6"/>
      <c r="O7" s="6"/>
      <c r="P7" s="6"/>
      <c r="Q7" s="6"/>
    </row>
    <row r="8" spans="1:17" x14ac:dyDescent="0.3">
      <c r="A8" s="2" t="s">
        <v>8</v>
      </c>
      <c r="B8" s="2">
        <v>25</v>
      </c>
      <c r="C8" s="4">
        <v>2</v>
      </c>
      <c r="D8" s="2" t="s">
        <v>5</v>
      </c>
      <c r="E8" s="8">
        <f t="shared" si="0"/>
        <v>50</v>
      </c>
      <c r="G8" t="str">
        <v>40</v>
      </c>
      <c r="H8" t="str">
        <v>2</v>
      </c>
      <c r="J8" s="15"/>
      <c r="K8" s="15"/>
      <c r="L8" s="15"/>
      <c r="M8" s="15"/>
      <c r="N8" s="15"/>
      <c r="O8" s="15"/>
      <c r="P8" s="15"/>
      <c r="Q8" s="15"/>
    </row>
    <row r="9" spans="1:17" x14ac:dyDescent="0.3">
      <c r="A9" s="2" t="s">
        <v>10</v>
      </c>
      <c r="B9" s="2">
        <v>7</v>
      </c>
      <c r="C9" s="4">
        <v>1</v>
      </c>
      <c r="D9" s="2" t="s">
        <v>7</v>
      </c>
      <c r="E9" s="8">
        <f t="shared" si="0"/>
        <v>7</v>
      </c>
      <c r="G9" t="str">
        <v>144</v>
      </c>
      <c r="H9" t="str">
        <v>1</v>
      </c>
      <c r="J9" s="15"/>
      <c r="K9" s="15"/>
      <c r="L9" s="15"/>
      <c r="M9" s="15"/>
      <c r="N9" s="15"/>
      <c r="O9" s="15"/>
      <c r="P9" s="15"/>
      <c r="Q9" s="15"/>
    </row>
    <row r="10" spans="1:17" x14ac:dyDescent="0.3">
      <c r="G10" t="str">
        <v>50</v>
      </c>
      <c r="J10" s="15"/>
      <c r="K10" s="15"/>
      <c r="L10" s="15"/>
      <c r="M10" s="15"/>
      <c r="N10" s="15"/>
      <c r="O10" s="15"/>
      <c r="P10" s="15"/>
      <c r="Q10" s="15"/>
    </row>
    <row r="11" spans="1:17" x14ac:dyDescent="0.3">
      <c r="G11" t="str">
        <v>7</v>
      </c>
      <c r="J11" s="15"/>
      <c r="K11" s="15"/>
      <c r="L11" s="15"/>
      <c r="M11" s="15"/>
      <c r="N11" s="15"/>
      <c r="O11" s="15"/>
      <c r="P11" s="15"/>
      <c r="Q11" s="15"/>
    </row>
    <row r="12" spans="1:17" ht="26.4" customHeight="1" x14ac:dyDescent="0.3">
      <c r="A12" s="10" t="s">
        <v>12</v>
      </c>
      <c r="B12" s="11" t="s">
        <v>13</v>
      </c>
      <c r="C12" s="12" t="s">
        <v>14</v>
      </c>
      <c r="D12" s="10" t="s">
        <v>15</v>
      </c>
      <c r="G12" t="str">
        <f>TRIM(A2)</f>
        <v>Pen</v>
      </c>
    </row>
    <row r="13" spans="1:17" ht="14.4" customHeight="1" x14ac:dyDescent="0.3">
      <c r="A13">
        <f>SUM(B2:B9)</f>
        <v>102</v>
      </c>
      <c r="B13" s="5">
        <f>AVERAGE(C2:C9)</f>
        <v>5</v>
      </c>
      <c r="C13" s="5">
        <f>MAX(C2:C9)</f>
        <v>12</v>
      </c>
      <c r="D13" s="5">
        <f>MIN(C2:C9)</f>
        <v>1</v>
      </c>
    </row>
    <row r="16" spans="1:17" ht="15.6" customHeight="1" x14ac:dyDescent="0.3"/>
  </sheetData>
  <autoFilter ref="A1:E9" xr:uid="{CF147CDB-9EAC-407A-8A3C-DC0860C43873}"/>
  <mergeCells count="1">
    <mergeCell ref="K7:Q7"/>
  </mergeCells>
  <conditionalFormatting sqref="D4">
    <cfRule type="cellIs" priority="6" operator="lessThan">
      <formula>20</formula>
    </cfRule>
  </conditionalFormatting>
  <conditionalFormatting sqref="B1:B1048576">
    <cfRule type="cellIs" priority="5" operator="greaterThan">
      <formula>20</formula>
    </cfRule>
  </conditionalFormatting>
  <conditionalFormatting sqref="B1:B9">
    <cfRule type="cellIs" dxfId="3" priority="4" operator="lessThan">
      <formula>20</formula>
    </cfRule>
  </conditionalFormatting>
  <conditionalFormatting sqref="A13">
    <cfRule type="cellIs" priority="3" operator="greaterThan">
      <formula>20</formula>
    </cfRule>
  </conditionalFormatting>
  <conditionalFormatting sqref="B2:B9">
    <cfRule type="cellIs" dxfId="1" priority="1" operator="greaterThan">
      <formula>20</formula>
    </cfRule>
    <cfRule type="cellIs" dxfId="0" priority="2" operator="lessThan">
      <formula>20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88E07-C846-49C2-83F6-D78519386D9B}">
  <dimension ref="A1:D5"/>
  <sheetViews>
    <sheetView tabSelected="1" workbookViewId="0">
      <selection activeCell="O21" sqref="O21"/>
    </sheetView>
  </sheetViews>
  <sheetFormatPr defaultRowHeight="14.4" x14ac:dyDescent="0.3"/>
  <cols>
    <col min="1" max="1" width="9.5546875" customWidth="1"/>
    <col min="2" max="2" width="16" customWidth="1"/>
    <col min="3" max="3" width="11.77734375" customWidth="1"/>
    <col min="4" max="4" width="14.33203125" customWidth="1"/>
  </cols>
  <sheetData>
    <row r="1" spans="1:4" ht="16.8" customHeight="1" x14ac:dyDescent="0.3">
      <c r="A1" s="1" t="s">
        <v>0</v>
      </c>
      <c r="B1" s="1" t="s">
        <v>18</v>
      </c>
      <c r="C1" s="1" t="s">
        <v>19</v>
      </c>
      <c r="D1" s="1" t="s">
        <v>20</v>
      </c>
    </row>
    <row r="2" spans="1:4" x14ac:dyDescent="0.3">
      <c r="A2" s="2" t="s">
        <v>4</v>
      </c>
      <c r="B2" s="2">
        <f>SUMIF(Sales!A:A, A2, Sales!B:B)</f>
        <v>18</v>
      </c>
      <c r="C2" s="2">
        <f>SUMIF(Sales!A:A,A2,Sales!E:DE)</f>
        <v>90</v>
      </c>
      <c r="D2" s="2">
        <f>AVERAGEIF(Sales!A:A, A2, Sales!C:C)</f>
        <v>5</v>
      </c>
    </row>
    <row r="3" spans="1:4" ht="16.2" customHeight="1" x14ac:dyDescent="0.3">
      <c r="A3" s="2" t="s">
        <v>6</v>
      </c>
      <c r="B3" s="2">
        <f>SUMIF(Sales!A:A, A3, Sales!B:B)</f>
        <v>27</v>
      </c>
      <c r="C3" s="2">
        <f>SUMIF(Sales!A:A,A3,Sales!E:DE)</f>
        <v>324</v>
      </c>
      <c r="D3" s="2">
        <f>AVERAGEIF(Sales!A:A, A3, Sales!C:C)</f>
        <v>12</v>
      </c>
    </row>
    <row r="4" spans="1:4" x14ac:dyDescent="0.3">
      <c r="A4" s="2" t="s">
        <v>8</v>
      </c>
      <c r="B4" s="2">
        <f>SUMIF(Sales!A:A, A4, Sales!B:B)</f>
        <v>45</v>
      </c>
      <c r="C4" s="2">
        <f>SUMIF(Sales!A:A,A4,Sales!E:DE)</f>
        <v>90</v>
      </c>
      <c r="D4" s="2">
        <f>AVERAGEIF(Sales!A:A, A4, Sales!C:C)</f>
        <v>2</v>
      </c>
    </row>
    <row r="5" spans="1:4" x14ac:dyDescent="0.3">
      <c r="A5" s="2" t="s">
        <v>10</v>
      </c>
      <c r="B5" s="2">
        <f>SUMIF(Sales!A:A, A5, Sales!B:B)</f>
        <v>12</v>
      </c>
      <c r="C5" s="2">
        <f>SUMIF(Sales!A:A,A5,Sales!E:DE)</f>
        <v>12</v>
      </c>
      <c r="D5" s="2">
        <f>AVERAGEIF(Sales!A:A, A5, Sales!C:C)</f>
        <v>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Sales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 Kumari</dc:creator>
  <cp:lastModifiedBy>Seema Kumari</cp:lastModifiedBy>
  <dcterms:created xsi:type="dcterms:W3CDTF">2026-01-19T17:41:56Z</dcterms:created>
  <dcterms:modified xsi:type="dcterms:W3CDTF">2026-01-19T19:07:06Z</dcterms:modified>
</cp:coreProperties>
</file>