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C465DD0A-4BD2-4899-A2B8-3A73EB739503}" xr6:coauthVersionLast="47" xr6:coauthVersionMax="47" xr10:uidLastSave="{00000000-0000-0000-0000-000000000000}"/>
  <bookViews>
    <workbookView xWindow="-108" yWindow="-108" windowWidth="23256" windowHeight="12456" xr2:uid="{D39EE176-0C1D-3441-8EB4-571125E77837}"/>
  </bookViews>
  <sheets>
    <sheet name="forecast_sheet" sheetId="9" r:id="rId1"/>
    <sheet name="Forecast" sheetId="3" r:id="rId2"/>
    <sheet name="Correlation Analysis" sheetId="7" r:id="rId3"/>
    <sheet name="Descriptive Stats" sheetId="2" r:id="rId4"/>
    <sheet name="multiple regression" sheetId="6" r:id="rId5"/>
    <sheet name="Linear regression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1" l="1"/>
  <c r="B32" i="11" s="1"/>
  <c r="B12" i="11"/>
  <c r="B13" i="11" s="1"/>
  <c r="C25" i="9" l="1"/>
  <c r="C24" i="9"/>
  <c r="C23" i="9"/>
  <c r="C22" i="9"/>
  <c r="C21" i="9"/>
  <c r="C20" i="9"/>
  <c r="C19" i="9"/>
  <c r="C18" i="9"/>
  <c r="D25" i="9"/>
  <c r="E25" i="9"/>
  <c r="D24" i="9"/>
  <c r="E24" i="9"/>
  <c r="D23" i="9"/>
  <c r="E23" i="9"/>
  <c r="D22" i="9"/>
  <c r="E22" i="9"/>
  <c r="D21" i="9"/>
  <c r="E21" i="9"/>
  <c r="D20" i="9"/>
  <c r="E20" i="9"/>
  <c r="D19" i="9"/>
  <c r="E19" i="9"/>
  <c r="D18" i="9"/>
  <c r="E18" i="9"/>
  <c r="D32" i="6" l="1"/>
  <c r="D33" i="6" s="1"/>
  <c r="D13" i="6"/>
  <c r="D14" i="6" s="1"/>
  <c r="C32" i="2"/>
  <c r="C33" i="2" s="1"/>
  <c r="C13" i="2"/>
  <c r="C14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</futureMetadata>
  <valueMetadata count="20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</valueMetadata>
</metadata>
</file>

<file path=xl/sharedStrings.xml><?xml version="1.0" encoding="utf-8"?>
<sst xmlns="http://schemas.openxmlformats.org/spreadsheetml/2006/main" count="83" uniqueCount="49">
  <si>
    <t>Revenue</t>
  </si>
  <si>
    <t>Date</t>
  </si>
  <si>
    <t>Microsoft</t>
  </si>
  <si>
    <t>Apple</t>
  </si>
  <si>
    <t>Amazon</t>
  </si>
  <si>
    <t>Revenue (in millions)</t>
  </si>
  <si>
    <t>Hotel Resort Business</t>
  </si>
  <si>
    <t>Exxon Mobil</t>
  </si>
  <si>
    <t>Online Ads</t>
  </si>
  <si>
    <t>Newspaper Ads</t>
  </si>
  <si>
    <t>Forecast(Revenue (in millions))</t>
  </si>
  <si>
    <t>Lower Confidence Bound(Revenue (in millions))</t>
  </si>
  <si>
    <t>Upper Confidence Bound(Revenue (in millions))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</si>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</sst>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$-409]* #,##0_ ;_-[$$-409]* \-#,##0\ ;_-[$$-409]* &quot;-&quot;??_ ;_-@_ "/>
    <numFmt numFmtId="166" formatCode="[$$-C09]#,##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1" applyNumberFormat="1" applyFont="1"/>
    <xf numFmtId="166" fontId="0" fillId="0" borderId="0" xfId="1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0" fontId="3" fillId="2" borderId="0" xfId="0" applyFont="1" applyFill="1" applyAlignment="1">
      <alignment horizontal="center"/>
    </xf>
  </cellXfs>
  <cellStyles count="4">
    <cellStyle name="Comma" xfId="1" builtinId="3"/>
    <cellStyle name="Hyperlink 2 2" xfId="3" xr:uid="{AC004846-4E41-49DA-BCBB-CB78111A3BD9}"/>
    <cellStyle name="Normal" xfId="0" builtinId="0"/>
    <cellStyle name="Normal 2" xfId="2" xr:uid="{0A7EA08C-258F-4460-9423-499FFEAE631F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[$$-C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[$$-C09]#,##0"/>
    </dxf>
    <dxf>
      <numFmt numFmtId="166" formatCode="[$$-C09]#,##0"/>
    </dxf>
    <dxf>
      <numFmt numFmtId="166" formatCode="[$$-C09]#,##0"/>
    </dxf>
    <dxf>
      <numFmt numFmtId="19" formatCode="dd/mm/yyyy"/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forecast_sheet!$B$1</c:f>
              <c:strCache>
                <c:ptCount val="1"/>
                <c:pt idx="0">
                  <c:v>Revenue (in millions)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forecast_sheet!$B$2:$B$25</c:f>
              <c:numCache>
                <c:formatCode>[$$-C09]#,##0</c:formatCode>
                <c:ptCount val="24"/>
                <c:pt idx="0">
                  <c:v>5012</c:v>
                </c:pt>
                <c:pt idx="1">
                  <c:v>6258</c:v>
                </c:pt>
                <c:pt idx="2">
                  <c:v>5548</c:v>
                </c:pt>
                <c:pt idx="3">
                  <c:v>4258</c:v>
                </c:pt>
                <c:pt idx="4">
                  <c:v>3789</c:v>
                </c:pt>
                <c:pt idx="5">
                  <c:v>5663</c:v>
                </c:pt>
                <c:pt idx="6">
                  <c:v>3999</c:v>
                </c:pt>
                <c:pt idx="7">
                  <c:v>3523</c:v>
                </c:pt>
                <c:pt idx="8">
                  <c:v>3789</c:v>
                </c:pt>
                <c:pt idx="9">
                  <c:v>6587</c:v>
                </c:pt>
                <c:pt idx="10">
                  <c:v>3946</c:v>
                </c:pt>
                <c:pt idx="11">
                  <c:v>3889</c:v>
                </c:pt>
                <c:pt idx="12">
                  <c:v>4199</c:v>
                </c:pt>
                <c:pt idx="13">
                  <c:v>6689</c:v>
                </c:pt>
                <c:pt idx="14">
                  <c:v>5123</c:v>
                </c:pt>
                <c:pt idx="15">
                  <c:v>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9-4A2A-B13F-404FD254A07B}"/>
            </c:ext>
          </c:extLst>
        </c:ser>
        <c:ser>
          <c:idx val="1"/>
          <c:order val="1"/>
          <c:tx>
            <c:strRef>
              <c:f>forecast_sheet!$C$1</c:f>
              <c:strCache>
                <c:ptCount val="1"/>
                <c:pt idx="0">
                  <c:v>Forecast(Revenue (in millions))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forecast_sheet!$A$2:$A$25</c:f>
              <c:numCache>
                <c:formatCode>m/d/yyyy</c:formatCode>
                <c:ptCount val="24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</c:numCache>
            </c:numRef>
          </c:cat>
          <c:val>
            <c:numRef>
              <c:f>forecast_sheet!$C$2:$C$25</c:f>
              <c:numCache>
                <c:formatCode>General</c:formatCode>
                <c:ptCount val="24"/>
                <c:pt idx="15" formatCode="[$$-C09]#,##0">
                  <c:v>4899</c:v>
                </c:pt>
                <c:pt idx="16" formatCode="[$$-C09]#,##0">
                  <c:v>4660.3838503979396</c:v>
                </c:pt>
                <c:pt idx="17" formatCode="[$$-C09]#,##0">
                  <c:v>6833.9266855583028</c:v>
                </c:pt>
                <c:pt idx="18" formatCode="[$$-C09]#,##0">
                  <c:v>5694.5271600630931</c:v>
                </c:pt>
                <c:pt idx="19" formatCode="[$$-C09]#,##0">
                  <c:v>4728.9210586734207</c:v>
                </c:pt>
                <c:pt idx="20" formatCode="[$$-C09]#,##0">
                  <c:v>4655.1677060173824</c:v>
                </c:pt>
                <c:pt idx="21" formatCode="[$$-C09]#,##0">
                  <c:v>6828.7105411777466</c:v>
                </c:pt>
                <c:pt idx="22" formatCode="[$$-C09]#,##0">
                  <c:v>5689.311015682536</c:v>
                </c:pt>
                <c:pt idx="23" formatCode="[$$-C09]#,##0">
                  <c:v>4723.7049142928636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9-4A2A-B13F-404FD254A07B}"/>
            </c:ext>
          </c:extLst>
        </c:ser>
        <c:ser>
          <c:idx val="2"/>
          <c:order val="2"/>
          <c:tx>
            <c:strRef>
              <c:f>forecast_sheet!$D$1</c:f>
              <c:strCache>
                <c:ptCount val="1"/>
                <c:pt idx="0">
                  <c:v>Lower Confidence Bound(Revenue (in millions))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forecast_sheet!$A$2:$A$25</c:f>
              <c:numCache>
                <c:formatCode>m/d/yyyy</c:formatCode>
                <c:ptCount val="24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</c:numCache>
            </c:numRef>
          </c:cat>
          <c:val>
            <c:numRef>
              <c:f>forecast_sheet!$D$2:$D$25</c:f>
              <c:numCache>
                <c:formatCode>General</c:formatCode>
                <c:ptCount val="24"/>
                <c:pt idx="15" formatCode="[$$-C09]#,##0">
                  <c:v>4899</c:v>
                </c:pt>
                <c:pt idx="16" formatCode="[$$-C09]#,##0">
                  <c:v>3490.6161677055716</c:v>
                </c:pt>
                <c:pt idx="17" formatCode="[$$-C09]#,##0">
                  <c:v>5370.3121642808192</c:v>
                </c:pt>
                <c:pt idx="18" formatCode="[$$-C09]#,##0">
                  <c:v>3986.3006297848269</c:v>
                </c:pt>
                <c:pt idx="19" formatCode="[$$-C09]#,##0">
                  <c:v>2806.4303815202229</c:v>
                </c:pt>
                <c:pt idx="20" formatCode="[$$-C09]#,##0">
                  <c:v>2539.0308094158318</c:v>
                </c:pt>
                <c:pt idx="21" formatCode="[$$-C09]#,##0">
                  <c:v>4535.2196808131539</c:v>
                </c:pt>
                <c:pt idx="22" formatCode="[$$-C09]#,##0">
                  <c:v>3230.808298320967</c:v>
                </c:pt>
                <c:pt idx="23" formatCode="[$$-C09]#,##0">
                  <c:v>2110.1931090839807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89-4A2A-B13F-404FD254A07B}"/>
            </c:ext>
          </c:extLst>
        </c:ser>
        <c:ser>
          <c:idx val="3"/>
          <c:order val="3"/>
          <c:tx>
            <c:strRef>
              <c:f>forecast_sheet!$E$1</c:f>
              <c:strCache>
                <c:ptCount val="1"/>
                <c:pt idx="0">
                  <c:v>Upper Confidence Bound(Revenue (in millions))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forecast_sheet!$A$2:$A$25</c:f>
              <c:numCache>
                <c:formatCode>m/d/yyyy</c:formatCode>
                <c:ptCount val="24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</c:numCache>
            </c:numRef>
          </c:cat>
          <c:val>
            <c:numRef>
              <c:f>forecast_sheet!$E$2:$E$25</c:f>
              <c:numCache>
                <c:formatCode>General</c:formatCode>
                <c:ptCount val="24"/>
                <c:pt idx="15" formatCode="[$$-C09]#,##0">
                  <c:v>4899</c:v>
                </c:pt>
                <c:pt idx="16" formatCode="[$$-C09]#,##0">
                  <c:v>5830.1515330903076</c:v>
                </c:pt>
                <c:pt idx="17" formatCode="[$$-C09]#,##0">
                  <c:v>8297.5412068357855</c:v>
                </c:pt>
                <c:pt idx="18" formatCode="[$$-C09]#,##0">
                  <c:v>7402.7536903413593</c:v>
                </c:pt>
                <c:pt idx="19" formatCode="[$$-C09]#,##0">
                  <c:v>6651.4117358266185</c:v>
                </c:pt>
                <c:pt idx="20" formatCode="[$$-C09]#,##0">
                  <c:v>6771.3046026189331</c:v>
                </c:pt>
                <c:pt idx="21" formatCode="[$$-C09]#,##0">
                  <c:v>9122.2014015423392</c:v>
                </c:pt>
                <c:pt idx="22" formatCode="[$$-C09]#,##0">
                  <c:v>8147.813733044105</c:v>
                </c:pt>
                <c:pt idx="23" formatCode="[$$-C09]#,##0">
                  <c:v>7337.2167195017464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89-4A2A-B13F-404FD254A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176159"/>
        <c:axId val="304177599"/>
      </c:lineChart>
      <c:catAx>
        <c:axId val="3041761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77599"/>
        <c:crosses val="autoZero"/>
        <c:auto val="1"/>
        <c:lblAlgn val="ctr"/>
        <c:lblOffset val="100"/>
        <c:noMultiLvlLbl val="0"/>
      </c:catAx>
      <c:valAx>
        <c:axId val="3041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7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951881014873136E-4"/>
                  <c:y val="-0.149766695829687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'Linear regression'!$A$2:$A$32</c:f>
              <c:numCache>
                <c:formatCode>General</c:formatCode>
                <c:ptCount val="31"/>
                <c:pt idx="0">
                  <c:v>12</c:v>
                </c:pt>
                <c:pt idx="1">
                  <c:v>15</c:v>
                </c:pt>
                <c:pt idx="2">
                  <c:v>15</c:v>
                </c:pt>
                <c:pt idx="3">
                  <c:v>10</c:v>
                </c:pt>
                <c:pt idx="4">
                  <c:v>14</c:v>
                </c:pt>
                <c:pt idx="5">
                  <c:v>34</c:v>
                </c:pt>
                <c:pt idx="6">
                  <c:v>45</c:v>
                </c:pt>
                <c:pt idx="7">
                  <c:v>20</c:v>
                </c:pt>
                <c:pt idx="8">
                  <c:v>45</c:v>
                </c:pt>
                <c:pt idx="9">
                  <c:v>48</c:v>
                </c:pt>
                <c:pt idx="10">
                  <c:v>55</c:v>
                </c:pt>
                <c:pt idx="11">
                  <c:v>60</c:v>
                </c:pt>
                <c:pt idx="12">
                  <c:v>62</c:v>
                </c:pt>
                <c:pt idx="13">
                  <c:v>61</c:v>
                </c:pt>
                <c:pt idx="14">
                  <c:v>69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65</c:v>
                </c:pt>
                <c:pt idx="19">
                  <c:v>70</c:v>
                </c:pt>
                <c:pt idx="20">
                  <c:v>70</c:v>
                </c:pt>
                <c:pt idx="21">
                  <c:v>25</c:v>
                </c:pt>
                <c:pt idx="22">
                  <c:v>65</c:v>
                </c:pt>
                <c:pt idx="23">
                  <c:v>70</c:v>
                </c:pt>
                <c:pt idx="24">
                  <c:v>75</c:v>
                </c:pt>
                <c:pt idx="25">
                  <c:v>75</c:v>
                </c:pt>
                <c:pt idx="26">
                  <c:v>72</c:v>
                </c:pt>
                <c:pt idx="27">
                  <c:v>70</c:v>
                </c:pt>
                <c:pt idx="28">
                  <c:v>40</c:v>
                </c:pt>
                <c:pt idx="29">
                  <c:v>40</c:v>
                </c:pt>
                <c:pt idx="30">
                  <c:v>38</c:v>
                </c:pt>
              </c:numCache>
            </c:numRef>
          </c:xVal>
          <c:yVal>
            <c:numRef>
              <c:f>'Linear regression'!$B$2:$B$32</c:f>
              <c:numCache>
                <c:formatCode>[$$-C09]#,##0</c:formatCode>
                <c:ptCount val="31"/>
                <c:pt idx="0">
                  <c:v>10555</c:v>
                </c:pt>
                <c:pt idx="1">
                  <c:v>12499</c:v>
                </c:pt>
                <c:pt idx="2">
                  <c:v>12400</c:v>
                </c:pt>
                <c:pt idx="3">
                  <c:v>11000</c:v>
                </c:pt>
                <c:pt idx="4">
                  <c:v>12399</c:v>
                </c:pt>
                <c:pt idx="5">
                  <c:v>19880</c:v>
                </c:pt>
                <c:pt idx="6">
                  <c:v>22569</c:v>
                </c:pt>
                <c:pt idx="7">
                  <c:v>12008</c:v>
                </c:pt>
                <c:pt idx="8">
                  <c:v>23663</c:v>
                </c:pt>
                <c:pt idx="9">
                  <c:v>24585</c:v>
                </c:pt>
                <c:pt idx="10">
                  <c:v>27043.500000000004</c:v>
                </c:pt>
                <c:pt idx="11">
                  <c:v>29747.850000000006</c:v>
                </c:pt>
                <c:pt idx="12">
                  <c:v>28778</c:v>
                </c:pt>
                <c:pt idx="13">
                  <c:v>21136</c:v>
                </c:pt>
                <c:pt idx="14">
                  <c:v>23458</c:v>
                </c:pt>
                <c:pt idx="15">
                  <c:v>22588</c:v>
                </c:pt>
                <c:pt idx="16">
                  <c:v>19550</c:v>
                </c:pt>
                <c:pt idx="17">
                  <c:v>22202</c:v>
                </c:pt>
                <c:pt idx="18">
                  <c:v>30668</c:v>
                </c:pt>
                <c:pt idx="19">
                  <c:v>31549</c:v>
                </c:pt>
                <c:pt idx="20">
                  <c:v>29998</c:v>
                </c:pt>
                <c:pt idx="21">
                  <c:v>12558</c:v>
                </c:pt>
                <c:pt idx="22">
                  <c:v>25372</c:v>
                </c:pt>
                <c:pt idx="23">
                  <c:v>32220</c:v>
                </c:pt>
                <c:pt idx="24">
                  <c:v>33698</c:v>
                </c:pt>
                <c:pt idx="25">
                  <c:v>35925</c:v>
                </c:pt>
                <c:pt idx="26">
                  <c:v>31458</c:v>
                </c:pt>
                <c:pt idx="27">
                  <c:v>28778</c:v>
                </c:pt>
                <c:pt idx="28">
                  <c:v>33277</c:v>
                </c:pt>
                <c:pt idx="29">
                  <c:v>32611.46</c:v>
                </c:pt>
                <c:pt idx="30">
                  <c:v>31959.230799999998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A-4395-B327-AC9AB608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145631"/>
        <c:axId val="745150431"/>
      </c:scatterChart>
      <c:valAx>
        <c:axId val="74514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50431"/>
        <c:crosses val="autoZero"/>
        <c:crossBetween val="midCat"/>
      </c:valAx>
      <c:valAx>
        <c:axId val="745150431"/>
        <c:scaling>
          <c:orientation val="minMax"/>
        </c:scaling>
        <c:delete val="0"/>
        <c:axPos val="l"/>
        <c:numFmt formatCode="[$$-C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14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1882140</xdr:colOff>
      <xdr:row>2</xdr:row>
      <xdr:rowOff>19051</xdr:rowOff>
    </xdr:from>
    <xdr:to>
      <xdr:col>6</xdr:col>
      <xdr:colOff>394335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C3DF8-3868-87CC-3022-8D61C2BF3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293370</xdr:colOff>
      <xdr:row>6</xdr:row>
      <xdr:rowOff>125730</xdr:rowOff>
    </xdr:from>
    <xdr:to>
      <xdr:col>9</xdr:col>
      <xdr:colOff>171450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63DE2-CCAC-7CF7-73EC-232AE8738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0">
  <rv s="0">
    <fb>44929</fb>
    <v>0</v>
  </rv>
  <rv s="0">
    <fb>125.07</fb>
    <v>1</v>
  </rv>
  <rv s="0">
    <fb>239.58</fb>
    <v>1</v>
  </rv>
  <rv s="0">
    <fb>85.82</fb>
    <v>1</v>
  </rv>
  <rv s="0">
    <fb>106.51</fb>
    <v>1</v>
  </rv>
  <rv s="0">
    <fb>44930</fb>
    <v>0</v>
  </rv>
  <rv s="0">
    <fb>126.36</fb>
    <v>1</v>
  </rv>
  <rv s="0">
    <fb>229.1</fb>
    <v>1</v>
  </rv>
  <rv s="0">
    <fb>85.14</fb>
    <v>1</v>
  </rv>
  <rv s="0">
    <fb>106.82</fb>
    <v>1</v>
  </rv>
  <rv s="0">
    <fb>44931</fb>
    <v>0</v>
  </rv>
  <rv s="0">
    <fb>125.02</fb>
    <v>1</v>
  </rv>
  <rv s="0">
    <fb>222.31</fb>
    <v>1</v>
  </rv>
  <rv s="0">
    <fb>83.12</fb>
    <v>1</v>
  </rv>
  <rv s="0">
    <fb>109.21</fb>
    <v>1</v>
  </rv>
  <rv s="0">
    <fb>44932</fb>
    <v>0</v>
  </rv>
  <rv s="0">
    <fb>129.62</fb>
    <v>1</v>
  </rv>
  <rv s="0">
    <fb>224.93</fb>
    <v>1</v>
  </rv>
  <rv s="0">
    <fb>86.08</fb>
    <v>1</v>
  </rv>
  <rv s="0">
    <fb>110.53</fb>
    <v>1</v>
  </rv>
  <rv s="0">
    <fb>44935</fb>
    <v>0</v>
  </rv>
  <rv s="0">
    <fb>130.15</fb>
    <v>1</v>
  </rv>
  <rv s="0">
    <fb>227.12</fb>
    <v>1</v>
  </rv>
  <rv s="0">
    <fb>87.36</fb>
    <v>1</v>
  </rv>
  <rv s="0">
    <fb>108.47</fb>
    <v>1</v>
  </rv>
  <rv s="0">
    <fb>44936</fb>
    <v>0</v>
  </rv>
  <rv s="0">
    <fb>130.72999999999999</fb>
    <v>1</v>
  </rv>
  <rv s="0">
    <fb>228.85</fb>
    <v>1</v>
  </rv>
  <rv s="0">
    <fb>89.87</fb>
    <v>1</v>
  </rv>
  <rv s="0">
    <fb>110.09</fb>
    <v>1</v>
  </rv>
  <rv s="0">
    <fb>44937</fb>
    <v>0</v>
  </rv>
  <rv s="0">
    <fb>133.49</fb>
    <v>1</v>
  </rv>
  <rv s="0">
    <fb>235.77</fb>
    <v>1</v>
  </rv>
  <rv s="0">
    <fb>95.09</fb>
    <v>1</v>
  </rv>
  <rv s="0">
    <fb>111.37</fb>
    <v>1</v>
  </rv>
  <rv s="0">
    <fb>44938</fb>
    <v>0</v>
  </rv>
  <rv s="0">
    <fb>133.41</fb>
    <v>1</v>
  </rv>
  <rv s="0">
    <fb>238.51</fb>
    <v>1</v>
  </rv>
  <rv s="0">
    <fb>95.27</fb>
    <v>1</v>
  </rv>
  <rv s="0">
    <fb>113.22</fb>
    <v>1</v>
  </rv>
  <rv s="0">
    <fb>44939</fb>
    <v>0</v>
  </rv>
  <rv s="0">
    <fb>134.76</fb>
    <v>1</v>
  </rv>
  <rv s="0">
    <fb>239.23</fb>
    <v>1</v>
  </rv>
  <rv s="0">
    <fb>98.12</fb>
    <v>1</v>
  </rv>
  <rv s="0">
    <fb>113.15</fb>
    <v>1</v>
  </rv>
  <rv s="0">
    <fb>44943</fb>
    <v>0</v>
  </rv>
  <rv s="0">
    <fb>135.94</fb>
    <v>1</v>
  </rv>
  <rv s="0">
    <fb>240.35</fb>
    <v>1</v>
  </rv>
  <rv s="0">
    <fb>96.05</fb>
    <v>1</v>
  </rv>
  <rv s="0">
    <fb>112.93</fb>
    <v>1</v>
  </rv>
  <rv s="0">
    <fb>44944</fb>
    <v>0</v>
  </rv>
  <rv s="0">
    <fb>135.21</fb>
    <v>1</v>
  </rv>
  <rv s="0">
    <fb>235.81</fb>
    <v>1</v>
  </rv>
  <rv s="0">
    <fb>95.46</fb>
    <v>1</v>
  </rv>
  <rv s="0">
    <fb>110.61</fb>
    <v>1</v>
  </rv>
  <rv s="0">
    <fb>44945</fb>
    <v>0</v>
  </rv>
  <rv s="0">
    <fb>135.27000000000001</fb>
    <v>1</v>
  </rv>
  <rv s="0">
    <fb>231.93</fb>
    <v>1</v>
  </rv>
  <rv s="0">
    <fb>93.68</fb>
    <v>1</v>
  </rv>
  <rv s="0">
    <fb>111.32</fb>
    <v>1</v>
  </rv>
  <rv s="0">
    <fb>44946</fb>
    <v>0</v>
  </rv>
  <rv s="0">
    <fb>137.87</fb>
    <v>1</v>
  </rv>
  <rv s="0">
    <fb>240.22</fb>
    <v>1</v>
  </rv>
  <rv s="0">
    <fb>97.25</fb>
    <v>1</v>
  </rv>
  <rv s="0">
    <fb>113.35</fb>
    <v>1</v>
  </rv>
  <rv s="0">
    <fb>44949</fb>
    <v>0</v>
  </rv>
  <rv s="0">
    <fb>141.11000000000001</fb>
    <v>1</v>
  </rv>
  <rv s="0">
    <fb>242.58</fb>
    <v>1</v>
  </rv>
  <rv s="0">
    <fb>97.52</fb>
    <v>1</v>
  </rv>
  <rv s="0">
    <fb>112.76</fb>
    <v>1</v>
  </rv>
  <rv s="0">
    <fb>44950</fb>
    <v>0</v>
  </rv>
  <rv s="0">
    <fb>142.53</fb>
    <v>1</v>
  </rv>
  <rv s="0">
    <fb>242.04</fb>
    <v>1</v>
  </rv>
  <rv s="0">
    <fb>96.32</fb>
    <v>1</v>
  </rv>
  <rv s="0">
    <fb>113.81</fb>
    <v>1</v>
  </rv>
  <rv s="0">
    <fb>44951</fb>
    <v>0</v>
  </rv>
  <rv s="0">
    <fb>141.86000000000001</fb>
    <v>1</v>
  </rv>
  <rv s="0">
    <fb>240.61</fb>
    <v>1</v>
  </rv>
  <rv s="0">
    <fb>97.18</fb>
    <v>1</v>
  </rv>
  <rv s="0">
    <fb>113.21</fb>
    <v>1</v>
  </rv>
  <rv s="0">
    <fb>44952</fb>
    <v>0</v>
  </rv>
  <rv s="0">
    <fb>143.96</fb>
    <v>1</v>
  </rv>
  <rv s="0">
    <fb>248</fb>
    <v>1</v>
  </rv>
  <rv s="0">
    <fb>99.22</fb>
    <v>1</v>
  </rv>
  <rv s="0">
    <fb>117.76</fb>
    <v>1</v>
  </rv>
  <rv s="0">
    <fb>44953</fb>
    <v>0</v>
  </rv>
  <rv s="0">
    <fb>145.93</fb>
    <v>1</v>
  </rv>
  <rv s="0">
    <fb>248.16</fb>
    <v>1</v>
  </rv>
  <rv s="0">
    <fb>102.24</fb>
    <v>1</v>
  </rv>
  <rv s="0">
    <fb>115.61</fb>
    <v>1</v>
  </rv>
  <rv s="0">
    <fb>44956</fb>
    <v>0</v>
  </rv>
  <rv s="0">
    <fb>143</fb>
    <v>1</v>
  </rv>
  <rv s="0">
    <fb>242.71</fb>
    <v>1</v>
  </rv>
  <rv s="0">
    <fb>100.55</fb>
    <v>1</v>
  </rv>
  <rv s="0">
    <fb>113.56</fb>
    <v>1</v>
  </rv>
  <rv s="0">
    <fb>44957</fb>
    <v>0</v>
  </rv>
  <rv s="0">
    <fb>144.29</fb>
    <v>1</v>
  </rv>
  <rv s="0">
    <fb>247.81</fb>
    <v>1</v>
  </rv>
  <rv s="0">
    <fb>103.13</fb>
    <v>1</v>
  </rv>
  <rv s="0">
    <fb>116.01</fb>
    <v>1</v>
  </rv>
  <rv s="0">
    <fb>44958</fb>
    <v>0</v>
  </rv>
  <rv s="0">
    <fb>145.43</fb>
    <v>1</v>
  </rv>
  <rv s="0">
    <fb>252.75</fb>
    <v>1</v>
  </rv>
  <rv s="0">
    <fb>105.15</fb>
    <v>1</v>
  </rv>
  <rv s="0">
    <fb>114.74</fb>
    <v>1</v>
  </rv>
  <rv s="0">
    <fb>44959</fb>
    <v>0</v>
  </rv>
  <rv s="0">
    <fb>150.82</fb>
    <v>1</v>
  </rv>
  <rv s="0">
    <fb>264.60000000000002</fb>
    <v>1</v>
  </rv>
  <rv s="0">
    <fb>112.91</fb>
    <v>1</v>
  </rv>
  <rv s="0">
    <fb>111.15</fb>
    <v>1</v>
  </rv>
  <rv s="0">
    <fb>44960</fb>
    <v>0</v>
  </rv>
  <rv s="0">
    <fb>154.5</fb>
    <v>1</v>
  </rv>
  <rv s="0">
    <fb>258.35000000000002</fb>
    <v>1</v>
  </rv>
  <rv s="0">
    <fb>103.39</fb>
    <v>1</v>
  </rv>
  <rv s="0">
    <fb>111.92</fb>
    <v>1</v>
  </rv>
  <rv s="0">
    <fb>44963</fb>
    <v>0</v>
  </rv>
  <rv s="0">
    <fb>151.72999999999999</fb>
    <v>1</v>
  </rv>
  <rv s="0">
    <fb>256.77</fb>
    <v>1</v>
  </rv>
  <rv s="0">
    <fb>102.18</fb>
    <v>1</v>
  </rv>
  <rv s="0">
    <fb>111.73</fb>
    <v>1</v>
  </rv>
  <rv s="0">
    <fb>44964</fb>
    <v>0</v>
  </rv>
  <rv s="0">
    <fb>154.65</fb>
    <v>1</v>
  </rv>
  <rv s="0">
    <fb>267.56</fb>
    <v>1</v>
  </rv>
  <rv s="0">
    <fb>102.11</fb>
    <v>1</v>
  </rv>
  <rv s="0">
    <fb>114.92</fb>
    <v>1</v>
  </rv>
  <rv s="0">
    <fb>44965</fb>
    <v>0</v>
  </rv>
  <rv s="0">
    <fb>151.91999999999999</fb>
    <v>1</v>
  </rv>
  <rv s="0">
    <fb>266.73</fb>
    <v>1</v>
  </rv>
  <rv s="0">
    <fb>100.05</fb>
    <v>1</v>
  </rv>
  <rv s="0">
    <fb>113.92</fb>
    <v>1</v>
  </rv>
  <rv s="0">
    <fb>44966</fb>
    <v>0</v>
  </rv>
  <rv s="0">
    <fb>150.87</fb>
    <v>1</v>
  </rv>
  <rv s="0">
    <fb>263.62</fb>
    <v>1</v>
  </rv>
  <rv s="0">
    <fb>98.24</fb>
    <v>1</v>
  </rv>
  <rv s="0">
    <fb>114.35</fb>
    <v>1</v>
  </rv>
  <rv s="0">
    <fb>44967</fb>
    <v>0</v>
  </rv>
  <rv s="0">
    <fb>151.01</fb>
    <v>1</v>
  </rv>
  <rv s="0">
    <fb>263.10000000000002</fb>
    <v>1</v>
  </rv>
  <rv s="0">
    <fb>97.61</fb>
    <v>1</v>
  </rv>
  <rv s="0">
    <fb>119.17</fb>
    <v>1</v>
  </rv>
  <rv s="0">
    <fb>44970</fb>
    <v>0</v>
  </rv>
  <rv s="0">
    <fb>153.85</fb>
    <v>1</v>
  </rv>
  <rv s="0">
    <fb>271.32</fb>
    <v>1</v>
  </rv>
  <rv s="0">
    <fb>99.54</fb>
    <v>1</v>
  </rv>
  <rv s="0">
    <fb>117.8</fb>
    <v>1</v>
  </rv>
  <rv s="0">
    <fb>44971</fb>
    <v>0</v>
  </rv>
  <rv s="0">
    <fb>153.19999999999999</fb>
    <v>1</v>
  </rv>
  <rv s="0">
    <fb>272.17</fb>
    <v>1</v>
  </rv>
  <rv s="0">
    <fb>99.7</fb>
    <v>1</v>
  </rv>
  <rv s="0">
    <fb>116.42</fb>
    <v>1</v>
  </rv>
  <rv s="0">
    <fb>44972</fb>
    <v>0</v>
  </rv>
  <rv s="0">
    <fb>155.33000000000001</fb>
    <v>1</v>
  </rv>
  <rv s="0">
    <fb>269.32</fb>
    <v>1</v>
  </rv>
  <rv s="0">
    <fb>101.16</fb>
    <v>1</v>
  </rv>
  <rv s="0">
    <fb>116.07</fb>
    <v>1</v>
  </rv>
  <rv s="0">
    <fb>44973</fb>
    <v>0</v>
  </rv>
  <rv s="0">
    <fb>153.71</fb>
    <v>1</v>
  </rv>
  <rv s="0">
    <fb>262.14999999999998</fb>
    <v>1</v>
  </rv>
  <rv s="0">
    <fb>98.15</fb>
    <v>1</v>
  </rv>
  <rv s="0">
    <fb>115.73</fb>
    <v>1</v>
  </rv>
  <rv s="0">
    <fb>44974</fb>
    <v>0</v>
  </rv>
  <rv s="0">
    <fb>152.55000000000001</fb>
    <v>1</v>
  </rv>
  <rv s="0">
    <fb>258.06</fb>
    <v>1</v>
  </rv>
  <rv s="0">
    <fb>97.2</fb>
    <v>1</v>
  </rv>
  <rv s="0">
    <fb>111.28</fb>
    <v>1</v>
  </rv>
  <rv s="0">
    <fb>44978</fb>
    <v>0</v>
  </rv>
  <rv s="0">
    <fb>148.47999999999999</fb>
    <v>1</v>
  </rv>
  <rv s="0">
    <fb>252.67</fb>
    <v>1</v>
  </rv>
  <rv s="0">
    <fb>94.58</fb>
    <v>1</v>
  </rv>
  <rv s="0">
    <fb>111.17</fb>
    <v>1</v>
  </rv>
  <rv s="0">
    <fb>44979</fb>
    <v>0</v>
  </rv>
  <rv s="0">
    <fb>148.91</fb>
    <v>1</v>
  </rv>
  <rv s="0">
    <fb>251.51</fb>
    <v>1</v>
  </rv>
  <rv s="0">
    <fb>95.79</fb>
    <v>1</v>
  </rv>
  <rv s="0">
    <fb>109.73</fb>
    <v>1</v>
  </rv>
  <rv s="0">
    <fb>44980</fb>
    <v>0</v>
  </rv>
  <rv s="0">
    <fb>149.4</fb>
    <v>1</v>
  </rv>
  <rv s="0">
    <fb>254.77</fb>
    <v>1</v>
  </rv>
  <rv s="0">
    <fb>95.82</fb>
    <v>1</v>
  </rv>
  <rv s="0">
    <fb>110.74</fb>
    <v>1</v>
  </rv>
  <rv s="0">
    <fb>44981</fb>
    <v>0</v>
  </rv>
  <rv s="0">
    <fb>146.71</fb>
    <v>1</v>
  </rv>
  <rv s="0">
    <fb>249.22</fb>
    <v>1</v>
  </rv>
  <rv s="0">
    <fb>93.5</fb>
    <v>1</v>
  </rv>
  <rv s="0">
    <fb>110.75</fb>
    <v>1</v>
  </rv>
  <rv s="0">
    <fb>44984</fb>
    <v>0</v>
  </rv>
  <rv s="0">
    <fb>147.91999999999999</fb>
    <v>1</v>
  </rv>
  <rv s="0">
    <fb>250.16</fb>
    <v>1</v>
  </rv>
  <rv s="0">
    <fb>93.76</fb>
    <v>1</v>
  </rv>
  <rv s="0">
    <fb>110.55</fb>
    <v>1</v>
  </rv>
  <rv s="0">
    <fb>44985</fb>
    <v>0</v>
  </rv>
  <rv s="0">
    <fb>147.41</fb>
    <v>1</v>
  </rv>
  <rv s="0">
    <fb>249.42</fb>
    <v>1</v>
  </rv>
  <rv s="0">
    <fb>94.23</fb>
    <v>1</v>
  </rv>
  <rv s="0">
    <fb>109.91</fb>
    <v>1</v>
  </rv>
  <rv s="0">
    <fb>44986</fb>
    <v>0</v>
  </rv>
  <rv s="0">
    <fb>145.31</fb>
    <v>1</v>
  </rv>
  <rv s="0">
    <fb>246.27</fb>
    <v>1</v>
  </rv>
  <rv s="0">
    <fb>92.17</fb>
    <v>1</v>
  </rv>
  <rv s="0">
    <fb>110.89</fb>
    <v>1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1"/>
    <rSty dxfid="0">
      <rpv i="0">_([$$-en-US]* #,##0.00_);_([$$-en-US]* (#,##0.00);_([$$-en-US]* "-"??_);_(@_)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7C604-E341-46A3-B4B6-D72C4635A01F}" name="Table1" displayName="Table1" ref="A1:E25" totalsRowShown="0">
  <autoFilter ref="A1:E25" xr:uid="{27C7C604-E341-46A3-B4B6-D72C4635A01F}"/>
  <tableColumns count="5">
    <tableColumn id="1" xr3:uid="{02CD2F19-D3BA-466E-9F8C-A856408662E6}" name="Date" dataDxfId="6"/>
    <tableColumn id="2" xr3:uid="{3C7ECE77-875D-48EF-A2AA-8FDF26657BCF}" name="Revenue (in millions)"/>
    <tableColumn id="3" xr3:uid="{D8D0DD25-133F-4000-9E1A-8DF5F3B76A47}" name="Forecast(Revenue (in millions))" dataDxfId="5">
      <calculatedColumnFormula>_xlfn.FORECAST.ETS(A2,$B$2:$B$17,$A$2:$A$17,1,1)</calculatedColumnFormula>
    </tableColumn>
    <tableColumn id="4" xr3:uid="{5699469B-D909-4D7E-B156-69C56C4CEF9D}" name="Lower Confidence Bound(Revenue (in millions))" dataDxfId="4">
      <calculatedColumnFormula>C2-_xlfn.FORECAST.ETS.CONFINT(A2,$B$2:$B$17,$A$2:$A$17,0.95,1,1)</calculatedColumnFormula>
    </tableColumn>
    <tableColumn id="5" xr3:uid="{0D8B61B3-1BC5-42E9-87BE-5E09E44EDC27}" name="Upper Confidence Bound(Revenue (in millions))" dataDxfId="3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1484D-A616-DD42-B763-35246842105C}" name="Table2" displayName="Table2" ref="B2:D33" totalsRowShown="0">
  <autoFilter ref="B2:D33" xr:uid="{F301484D-A616-DD42-B763-35246842105C}">
    <filterColumn colId="0" hiddenButton="1"/>
    <filterColumn colId="1" hiddenButton="1"/>
    <filterColumn colId="2" hiddenButton="1"/>
  </autoFilter>
  <tableColumns count="3">
    <tableColumn id="1" xr3:uid="{807D2E8D-403B-EA4D-9965-7CABB48DCF41}" name="Newspaper Ads" dataDxfId="2"/>
    <tableColumn id="2" xr3:uid="{3CB1085C-6466-C94B-85BD-0D83D6F74D7F}" name="Online Ads" dataDxfId="1"/>
    <tableColumn id="3" xr3:uid="{45A75BF1-CB4A-3940-96EE-9E04229A44D0}" name="Revenue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5F35-2C9C-430A-AA89-2257F1077F7E}">
  <dimension ref="A1:E25"/>
  <sheetViews>
    <sheetView tabSelected="1" workbookViewId="0">
      <selection activeCell="D3" sqref="D3"/>
    </sheetView>
  </sheetViews>
  <sheetFormatPr defaultRowHeight="15.6" x14ac:dyDescent="0.3"/>
  <cols>
    <col min="1" max="1" width="10.09765625" bestFit="1" customWidth="1"/>
    <col min="2" max="2" width="20.19921875" customWidth="1"/>
    <col min="3" max="3" width="28.3984375" customWidth="1"/>
    <col min="4" max="4" width="42.3984375" customWidth="1"/>
    <col min="5" max="5" width="42.5" customWidth="1"/>
  </cols>
  <sheetData>
    <row r="1" spans="1:5" x14ac:dyDescent="0.3">
      <c r="A1" t="s">
        <v>1</v>
      </c>
      <c r="B1" t="s">
        <v>5</v>
      </c>
      <c r="C1" t="s">
        <v>10</v>
      </c>
      <c r="D1" t="s">
        <v>11</v>
      </c>
      <c r="E1" t="s">
        <v>12</v>
      </c>
    </row>
    <row r="2" spans="1:5" x14ac:dyDescent="0.3">
      <c r="A2" s="3">
        <v>43555</v>
      </c>
      <c r="B2" s="12">
        <v>5012</v>
      </c>
    </row>
    <row r="3" spans="1:5" x14ac:dyDescent="0.3">
      <c r="A3" s="3">
        <v>43646</v>
      </c>
      <c r="B3" s="12">
        <v>6258</v>
      </c>
    </row>
    <row r="4" spans="1:5" x14ac:dyDescent="0.3">
      <c r="A4" s="3">
        <v>43738</v>
      </c>
      <c r="B4" s="12">
        <v>5548</v>
      </c>
    </row>
    <row r="5" spans="1:5" x14ac:dyDescent="0.3">
      <c r="A5" s="3">
        <v>43830</v>
      </c>
      <c r="B5" s="12">
        <v>4258</v>
      </c>
    </row>
    <row r="6" spans="1:5" x14ac:dyDescent="0.3">
      <c r="A6" s="3">
        <v>43921</v>
      </c>
      <c r="B6" s="12">
        <v>3789</v>
      </c>
    </row>
    <row r="7" spans="1:5" x14ac:dyDescent="0.3">
      <c r="A7" s="3">
        <v>44012</v>
      </c>
      <c r="B7" s="12">
        <v>5663</v>
      </c>
    </row>
    <row r="8" spans="1:5" x14ac:dyDescent="0.3">
      <c r="A8" s="3">
        <v>44104</v>
      </c>
      <c r="B8" s="12">
        <v>3999</v>
      </c>
    </row>
    <row r="9" spans="1:5" x14ac:dyDescent="0.3">
      <c r="A9" s="3">
        <v>44196</v>
      </c>
      <c r="B9" s="12">
        <v>3523</v>
      </c>
    </row>
    <row r="10" spans="1:5" x14ac:dyDescent="0.3">
      <c r="A10" s="3">
        <v>44286</v>
      </c>
      <c r="B10" s="12">
        <v>3789</v>
      </c>
    </row>
    <row r="11" spans="1:5" x14ac:dyDescent="0.3">
      <c r="A11" s="3">
        <v>44377</v>
      </c>
      <c r="B11" s="12">
        <v>6587</v>
      </c>
    </row>
    <row r="12" spans="1:5" x14ac:dyDescent="0.3">
      <c r="A12" s="3">
        <v>44469</v>
      </c>
      <c r="B12" s="12">
        <v>3946</v>
      </c>
    </row>
    <row r="13" spans="1:5" x14ac:dyDescent="0.3">
      <c r="A13" s="3">
        <v>44561</v>
      </c>
      <c r="B13" s="12">
        <v>3889</v>
      </c>
    </row>
    <row r="14" spans="1:5" x14ac:dyDescent="0.3">
      <c r="A14" s="3">
        <v>44651</v>
      </c>
      <c r="B14" s="12">
        <v>4199</v>
      </c>
    </row>
    <row r="15" spans="1:5" x14ac:dyDescent="0.3">
      <c r="A15" s="3">
        <v>44742</v>
      </c>
      <c r="B15" s="12">
        <v>6689</v>
      </c>
    </row>
    <row r="16" spans="1:5" x14ac:dyDescent="0.3">
      <c r="A16" s="3">
        <v>44834</v>
      </c>
      <c r="B16" s="12">
        <v>5123</v>
      </c>
    </row>
    <row r="17" spans="1:5" x14ac:dyDescent="0.3">
      <c r="A17" s="3">
        <v>44926</v>
      </c>
      <c r="B17" s="12">
        <v>4899</v>
      </c>
      <c r="C17" s="12">
        <v>4899</v>
      </c>
      <c r="D17" s="12">
        <v>4899</v>
      </c>
      <c r="E17" s="12">
        <v>4899</v>
      </c>
    </row>
    <row r="18" spans="1:5" x14ac:dyDescent="0.3">
      <c r="A18" s="3">
        <v>45016</v>
      </c>
      <c r="C18" s="12">
        <f t="shared" ref="C18:C25" si="0">_xlfn.FORECAST.ETS(A18,$B$2:$B$17,$A$2:$A$17,1,1)</f>
        <v>4660.3838503979396</v>
      </c>
      <c r="D18" s="12">
        <f t="shared" ref="D18:D25" si="1">C18-_xlfn.FORECAST.ETS.CONFINT(A18,$B$2:$B$17,$A$2:$A$17,0.95,1,1)</f>
        <v>3490.6161677055716</v>
      </c>
      <c r="E18" s="12">
        <f t="shared" ref="E18:E25" si="2">C18+_xlfn.FORECAST.ETS.CONFINT(A18,$B$2:$B$17,$A$2:$A$17,0.95,1,1)</f>
        <v>5830.1515330903076</v>
      </c>
    </row>
    <row r="19" spans="1:5" x14ac:dyDescent="0.3">
      <c r="A19" s="3">
        <v>45108</v>
      </c>
      <c r="C19" s="12">
        <f t="shared" si="0"/>
        <v>6833.9266855583028</v>
      </c>
      <c r="D19" s="12">
        <f t="shared" si="1"/>
        <v>5370.3121642808192</v>
      </c>
      <c r="E19" s="12">
        <f t="shared" si="2"/>
        <v>8297.5412068357855</v>
      </c>
    </row>
    <row r="20" spans="1:5" x14ac:dyDescent="0.3">
      <c r="A20" s="3">
        <v>45200</v>
      </c>
      <c r="C20" s="12">
        <f t="shared" si="0"/>
        <v>5694.5271600630931</v>
      </c>
      <c r="D20" s="12">
        <f t="shared" si="1"/>
        <v>3986.3006297848269</v>
      </c>
      <c r="E20" s="12">
        <f t="shared" si="2"/>
        <v>7402.7536903413593</v>
      </c>
    </row>
    <row r="21" spans="1:5" x14ac:dyDescent="0.3">
      <c r="A21" s="3">
        <v>45291</v>
      </c>
      <c r="C21" s="12">
        <f t="shared" si="0"/>
        <v>4728.9210586734207</v>
      </c>
      <c r="D21" s="12">
        <f t="shared" si="1"/>
        <v>2806.4303815202229</v>
      </c>
      <c r="E21" s="12">
        <f t="shared" si="2"/>
        <v>6651.4117358266185</v>
      </c>
    </row>
    <row r="22" spans="1:5" x14ac:dyDescent="0.3">
      <c r="A22" s="3">
        <v>45382</v>
      </c>
      <c r="C22" s="12">
        <f t="shared" si="0"/>
        <v>4655.1677060173824</v>
      </c>
      <c r="D22" s="12">
        <f t="shared" si="1"/>
        <v>2539.0308094158318</v>
      </c>
      <c r="E22" s="12">
        <f t="shared" si="2"/>
        <v>6771.3046026189331</v>
      </c>
    </row>
    <row r="23" spans="1:5" x14ac:dyDescent="0.3">
      <c r="A23" s="3">
        <v>45474</v>
      </c>
      <c r="C23" s="12">
        <f t="shared" si="0"/>
        <v>6828.7105411777466</v>
      </c>
      <c r="D23" s="12">
        <f t="shared" si="1"/>
        <v>4535.2196808131539</v>
      </c>
      <c r="E23" s="12">
        <f t="shared" si="2"/>
        <v>9122.2014015423392</v>
      </c>
    </row>
    <row r="24" spans="1:5" x14ac:dyDescent="0.3">
      <c r="A24" s="3">
        <v>45566</v>
      </c>
      <c r="C24" s="12">
        <f t="shared" si="0"/>
        <v>5689.311015682536</v>
      </c>
      <c r="D24" s="12">
        <f t="shared" si="1"/>
        <v>3230.808298320967</v>
      </c>
      <c r="E24" s="12">
        <f t="shared" si="2"/>
        <v>8147.813733044105</v>
      </c>
    </row>
    <row r="25" spans="1:5" x14ac:dyDescent="0.3">
      <c r="A25" s="3">
        <v>45657</v>
      </c>
      <c r="C25" s="12">
        <f t="shared" si="0"/>
        <v>4723.7049142928636</v>
      </c>
      <c r="D25" s="12">
        <f t="shared" si="1"/>
        <v>2110.1931090839807</v>
      </c>
      <c r="E25" s="12">
        <f t="shared" si="2"/>
        <v>7337.2167195017464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157-8DEF-F841-8EFA-010A8C2D9551}">
  <sheetPr codeName="Sheet1"/>
  <dimension ref="B2:F55"/>
  <sheetViews>
    <sheetView showGridLines="0" zoomScale="120" zoomScaleNormal="120" workbookViewId="0">
      <selection activeCell="C22" sqref="C22"/>
    </sheetView>
  </sheetViews>
  <sheetFormatPr defaultColWidth="11.19921875" defaultRowHeight="15.6" x14ac:dyDescent="0.3"/>
  <cols>
    <col min="1" max="1" width="3.69921875" customWidth="1"/>
    <col min="3" max="3" width="18.69921875" bestFit="1" customWidth="1"/>
  </cols>
  <sheetData>
    <row r="2" spans="2:3" x14ac:dyDescent="0.3">
      <c r="B2" s="16" t="s">
        <v>6</v>
      </c>
      <c r="C2" s="16"/>
    </row>
    <row r="3" spans="2:3" x14ac:dyDescent="0.3">
      <c r="B3" s="8" t="s">
        <v>1</v>
      </c>
      <c r="C3" s="7" t="s">
        <v>5</v>
      </c>
    </row>
    <row r="4" spans="2:3" x14ac:dyDescent="0.3">
      <c r="B4" s="3">
        <v>44926</v>
      </c>
      <c r="C4" s="5">
        <v>4899</v>
      </c>
    </row>
    <row r="5" spans="2:3" x14ac:dyDescent="0.3">
      <c r="B5" s="3">
        <v>44834</v>
      </c>
      <c r="C5" s="5">
        <v>5123</v>
      </c>
    </row>
    <row r="6" spans="2:3" x14ac:dyDescent="0.3">
      <c r="B6" s="3">
        <v>44742</v>
      </c>
      <c r="C6" s="5">
        <v>6689</v>
      </c>
    </row>
    <row r="7" spans="2:3" x14ac:dyDescent="0.3">
      <c r="B7" s="3">
        <v>44651</v>
      </c>
      <c r="C7" s="5">
        <v>4199</v>
      </c>
    </row>
    <row r="8" spans="2:3" x14ac:dyDescent="0.3">
      <c r="B8" s="3">
        <v>44561</v>
      </c>
      <c r="C8" s="5">
        <v>3889</v>
      </c>
    </row>
    <row r="9" spans="2:3" x14ac:dyDescent="0.3">
      <c r="B9" s="3">
        <v>44469</v>
      </c>
      <c r="C9" s="5">
        <v>3946</v>
      </c>
    </row>
    <row r="10" spans="2:3" x14ac:dyDescent="0.3">
      <c r="B10" s="3">
        <v>44377</v>
      </c>
      <c r="C10" s="5">
        <v>6587</v>
      </c>
    </row>
    <row r="11" spans="2:3" x14ac:dyDescent="0.3">
      <c r="B11" s="3">
        <v>44286</v>
      </c>
      <c r="C11" s="5">
        <v>3789</v>
      </c>
    </row>
    <row r="12" spans="2:3" x14ac:dyDescent="0.3">
      <c r="B12" s="3">
        <v>44196</v>
      </c>
      <c r="C12" s="5">
        <v>3523</v>
      </c>
    </row>
    <row r="13" spans="2:3" x14ac:dyDescent="0.3">
      <c r="B13" s="3">
        <v>44104</v>
      </c>
      <c r="C13" s="5">
        <v>3999</v>
      </c>
    </row>
    <row r="14" spans="2:3" x14ac:dyDescent="0.3">
      <c r="B14" s="3">
        <v>44012</v>
      </c>
      <c r="C14" s="5">
        <v>5663</v>
      </c>
    </row>
    <row r="15" spans="2:3" x14ac:dyDescent="0.3">
      <c r="B15" s="3">
        <v>43921</v>
      </c>
      <c r="C15" s="5">
        <v>3789</v>
      </c>
    </row>
    <row r="16" spans="2:3" x14ac:dyDescent="0.3">
      <c r="B16" s="3">
        <v>43830</v>
      </c>
      <c r="C16" s="5">
        <v>4258</v>
      </c>
    </row>
    <row r="17" spans="2:6" x14ac:dyDescent="0.3">
      <c r="B17" s="3">
        <v>43738</v>
      </c>
      <c r="C17" s="5">
        <v>5548</v>
      </c>
    </row>
    <row r="18" spans="2:6" x14ac:dyDescent="0.3">
      <c r="B18" s="3">
        <v>43646</v>
      </c>
      <c r="C18" s="5">
        <v>6258</v>
      </c>
    </row>
    <row r="19" spans="2:6" x14ac:dyDescent="0.3">
      <c r="B19" s="3">
        <v>43555</v>
      </c>
      <c r="C19" s="5">
        <v>5012</v>
      </c>
    </row>
    <row r="20" spans="2:6" x14ac:dyDescent="0.3">
      <c r="E20" s="3"/>
      <c r="F20" s="4"/>
    </row>
    <row r="21" spans="2:6" x14ac:dyDescent="0.3">
      <c r="E21" s="3"/>
      <c r="F21" s="4"/>
    </row>
    <row r="22" spans="2:6" x14ac:dyDescent="0.3">
      <c r="E22" s="3"/>
      <c r="F22" s="4"/>
    </row>
    <row r="23" spans="2:6" x14ac:dyDescent="0.3">
      <c r="E23" s="3"/>
      <c r="F23" s="4"/>
    </row>
    <row r="24" spans="2:6" x14ac:dyDescent="0.3">
      <c r="E24" s="3"/>
      <c r="F24" s="4"/>
    </row>
    <row r="25" spans="2:6" x14ac:dyDescent="0.3">
      <c r="E25" s="3"/>
      <c r="F25" s="4"/>
    </row>
    <row r="26" spans="2:6" x14ac:dyDescent="0.3">
      <c r="E26" s="3"/>
      <c r="F26" s="4"/>
    </row>
    <row r="27" spans="2:6" x14ac:dyDescent="0.3">
      <c r="E27" s="3"/>
      <c r="F27" s="4"/>
    </row>
    <row r="28" spans="2:6" x14ac:dyDescent="0.3">
      <c r="E28" s="3"/>
      <c r="F28" s="4"/>
    </row>
    <row r="29" spans="2:6" x14ac:dyDescent="0.3">
      <c r="E29" s="3"/>
      <c r="F29" s="4"/>
    </row>
    <row r="30" spans="2:6" x14ac:dyDescent="0.3">
      <c r="E30" s="3"/>
      <c r="F30" s="4"/>
    </row>
    <row r="31" spans="2:6" x14ac:dyDescent="0.3">
      <c r="E31" s="3"/>
      <c r="F31" s="4"/>
    </row>
    <row r="32" spans="2:6" x14ac:dyDescent="0.3">
      <c r="E32" s="3"/>
      <c r="F32" s="4"/>
    </row>
    <row r="33" spans="5:6" x14ac:dyDescent="0.3">
      <c r="E33" s="3"/>
      <c r="F33" s="4"/>
    </row>
    <row r="34" spans="5:6" x14ac:dyDescent="0.3">
      <c r="E34" s="3"/>
      <c r="F34" s="4"/>
    </row>
    <row r="35" spans="5:6" x14ac:dyDescent="0.3">
      <c r="E35" s="3"/>
      <c r="F35" s="4"/>
    </row>
    <row r="36" spans="5:6" x14ac:dyDescent="0.3">
      <c r="E36" s="3"/>
      <c r="F36" s="4"/>
    </row>
    <row r="37" spans="5:6" x14ac:dyDescent="0.3">
      <c r="E37" s="3"/>
      <c r="F37" s="4"/>
    </row>
    <row r="38" spans="5:6" x14ac:dyDescent="0.3">
      <c r="E38" s="3"/>
      <c r="F38" s="4"/>
    </row>
    <row r="39" spans="5:6" x14ac:dyDescent="0.3">
      <c r="E39" s="3"/>
      <c r="F39" s="4"/>
    </row>
    <row r="40" spans="5:6" x14ac:dyDescent="0.3">
      <c r="E40" s="3"/>
      <c r="F40" s="4"/>
    </row>
    <row r="41" spans="5:6" x14ac:dyDescent="0.3">
      <c r="E41" s="3"/>
      <c r="F41" s="4"/>
    </row>
    <row r="42" spans="5:6" x14ac:dyDescent="0.3">
      <c r="E42" s="3"/>
      <c r="F42" s="4"/>
    </row>
    <row r="43" spans="5:6" x14ac:dyDescent="0.3">
      <c r="E43" s="3"/>
      <c r="F43" s="4"/>
    </row>
    <row r="44" spans="5:6" x14ac:dyDescent="0.3">
      <c r="E44" s="3"/>
      <c r="F44" s="4"/>
    </row>
    <row r="45" spans="5:6" x14ac:dyDescent="0.3">
      <c r="E45" s="3"/>
      <c r="F45" s="4"/>
    </row>
    <row r="46" spans="5:6" x14ac:dyDescent="0.3">
      <c r="E46" s="3"/>
      <c r="F46" s="4"/>
    </row>
    <row r="47" spans="5:6" x14ac:dyDescent="0.3">
      <c r="E47" s="3"/>
      <c r="F47" s="4"/>
    </row>
    <row r="48" spans="5:6" x14ac:dyDescent="0.3">
      <c r="E48" s="3"/>
      <c r="F48" s="4"/>
    </row>
    <row r="49" spans="5:6" x14ac:dyDescent="0.3">
      <c r="E49" s="3"/>
      <c r="F49" s="4"/>
    </row>
    <row r="50" spans="5:6" x14ac:dyDescent="0.3">
      <c r="E50" s="3"/>
      <c r="F50" s="4"/>
    </row>
    <row r="51" spans="5:6" x14ac:dyDescent="0.3">
      <c r="E51" s="3"/>
      <c r="F51" s="4"/>
    </row>
    <row r="52" spans="5:6" x14ac:dyDescent="0.3">
      <c r="E52" s="3"/>
      <c r="F52" s="4"/>
    </row>
    <row r="53" spans="5:6" x14ac:dyDescent="0.3">
      <c r="E53" s="3"/>
      <c r="F53" s="4"/>
    </row>
    <row r="54" spans="5:6" x14ac:dyDescent="0.3">
      <c r="E54" s="3"/>
      <c r="F54" s="4"/>
    </row>
    <row r="55" spans="5:6" x14ac:dyDescent="0.3">
      <c r="E55" s="3"/>
      <c r="F55" s="4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4A4F-9C67-4560-BDFD-4065BC09D6DD}">
  <sheetPr codeName="Sheet2"/>
  <dimension ref="B1:L42"/>
  <sheetViews>
    <sheetView showGridLines="0" zoomScale="150" zoomScaleNormal="120" workbookViewId="0">
      <selection activeCell="J11" sqref="J11"/>
    </sheetView>
  </sheetViews>
  <sheetFormatPr defaultColWidth="8.796875" defaultRowHeight="15.6" x14ac:dyDescent="0.3"/>
  <cols>
    <col min="1" max="1" width="3.796875" customWidth="1"/>
    <col min="2" max="3" width="10.5" bestFit="1" customWidth="1"/>
    <col min="6" max="6" width="11.296875" bestFit="1" customWidth="1"/>
  </cols>
  <sheetData>
    <row r="1" spans="2:12" ht="16.2" thickBot="1" x14ac:dyDescent="0.35"/>
    <row r="2" spans="2:12" x14ac:dyDescent="0.3">
      <c r="B2" s="6" t="s">
        <v>1</v>
      </c>
      <c r="C2" s="6" t="s">
        <v>3</v>
      </c>
      <c r="D2" s="6" t="s">
        <v>2</v>
      </c>
      <c r="E2" s="6" t="s">
        <v>4</v>
      </c>
      <c r="F2" s="6" t="s">
        <v>7</v>
      </c>
      <c r="H2" s="14"/>
      <c r="I2" s="14" t="s">
        <v>3</v>
      </c>
      <c r="J2" s="14" t="s">
        <v>2</v>
      </c>
      <c r="K2" s="14" t="s">
        <v>4</v>
      </c>
      <c r="L2" s="14" t="s">
        <v>7</v>
      </c>
    </row>
    <row r="3" spans="2:12" x14ac:dyDescent="0.3">
      <c r="B3" vm="1">
        <v>44929</v>
      </c>
      <c r="C3" vm="2">
        <v>125.07</v>
      </c>
      <c r="D3" vm="3">
        <v>239.58</v>
      </c>
      <c r="E3" vm="4">
        <v>85.82</v>
      </c>
      <c r="F3" vm="5">
        <v>106.51</v>
      </c>
      <c r="H3" t="s">
        <v>3</v>
      </c>
      <c r="I3">
        <v>1</v>
      </c>
    </row>
    <row r="4" spans="2:12" x14ac:dyDescent="0.3">
      <c r="B4" vm="6">
        <v>44930</v>
      </c>
      <c r="C4" vm="7">
        <v>126.36</v>
      </c>
      <c r="D4" vm="8">
        <v>229.1</v>
      </c>
      <c r="E4" vm="9">
        <v>85.14</v>
      </c>
      <c r="F4" vm="10">
        <v>106.82</v>
      </c>
      <c r="H4" t="s">
        <v>2</v>
      </c>
      <c r="I4">
        <v>0.92807972696321395</v>
      </c>
      <c r="J4">
        <v>1</v>
      </c>
    </row>
    <row r="5" spans="2:12" x14ac:dyDescent="0.3">
      <c r="B5" vm="11">
        <v>44931</v>
      </c>
      <c r="C5" vm="12">
        <v>125.02</v>
      </c>
      <c r="D5" vm="13">
        <v>222.31</v>
      </c>
      <c r="E5" vm="14">
        <v>83.12</v>
      </c>
      <c r="F5" vm="15">
        <v>109.21</v>
      </c>
      <c r="H5" t="s">
        <v>4</v>
      </c>
      <c r="I5">
        <v>0.72345321130002271</v>
      </c>
      <c r="J5">
        <v>0.70101032788576412</v>
      </c>
      <c r="K5">
        <v>1</v>
      </c>
    </row>
    <row r="6" spans="2:12" ht="16.2" thickBot="1" x14ac:dyDescent="0.35">
      <c r="B6" vm="16">
        <v>44932</v>
      </c>
      <c r="C6" vm="17">
        <v>129.62</v>
      </c>
      <c r="D6" vm="18">
        <v>224.93</v>
      </c>
      <c r="E6" vm="19">
        <v>86.08</v>
      </c>
      <c r="F6" vm="20">
        <v>110.53</v>
      </c>
      <c r="H6" s="13" t="s">
        <v>7</v>
      </c>
      <c r="I6" s="13">
        <v>0.57211204303116459</v>
      </c>
      <c r="J6" s="13">
        <v>0.59412254154024846</v>
      </c>
      <c r="K6" s="13">
        <v>0.62135388015189474</v>
      </c>
      <c r="L6" s="13">
        <v>1</v>
      </c>
    </row>
    <row r="7" spans="2:12" x14ac:dyDescent="0.3">
      <c r="B7" vm="21">
        <v>44935</v>
      </c>
      <c r="C7" vm="22">
        <v>130.15</v>
      </c>
      <c r="D7" vm="23">
        <v>227.12</v>
      </c>
      <c r="E7" vm="24">
        <v>87.36</v>
      </c>
      <c r="F7" vm="25">
        <v>108.47</v>
      </c>
    </row>
    <row r="8" spans="2:12" x14ac:dyDescent="0.3">
      <c r="B8" vm="26">
        <v>44936</v>
      </c>
      <c r="C8" vm="27">
        <v>130.72999999999999</v>
      </c>
      <c r="D8" vm="28">
        <v>228.85</v>
      </c>
      <c r="E8" vm="29">
        <v>89.87</v>
      </c>
      <c r="F8" vm="30">
        <v>110.09</v>
      </c>
    </row>
    <row r="9" spans="2:12" x14ac:dyDescent="0.3">
      <c r="B9" vm="31">
        <v>44937</v>
      </c>
      <c r="C9" vm="32">
        <v>133.49</v>
      </c>
      <c r="D9" vm="33">
        <v>235.77</v>
      </c>
      <c r="E9" vm="34">
        <v>95.09</v>
      </c>
      <c r="F9" vm="35">
        <v>111.37</v>
      </c>
    </row>
    <row r="10" spans="2:12" x14ac:dyDescent="0.3">
      <c r="B10" vm="36">
        <v>44938</v>
      </c>
      <c r="C10" vm="37">
        <v>133.41</v>
      </c>
      <c r="D10" vm="38">
        <v>238.51</v>
      </c>
      <c r="E10" vm="39">
        <v>95.27</v>
      </c>
      <c r="F10" vm="40">
        <v>113.22</v>
      </c>
    </row>
    <row r="11" spans="2:12" x14ac:dyDescent="0.3">
      <c r="B11" vm="41">
        <v>44939</v>
      </c>
      <c r="C11" vm="42">
        <v>134.76</v>
      </c>
      <c r="D11" vm="43">
        <v>239.23</v>
      </c>
      <c r="E11" vm="44">
        <v>98.12</v>
      </c>
      <c r="F11" vm="45">
        <v>113.15</v>
      </c>
    </row>
    <row r="12" spans="2:12" x14ac:dyDescent="0.3">
      <c r="B12" vm="46">
        <v>44943</v>
      </c>
      <c r="C12" vm="47">
        <v>135.94</v>
      </c>
      <c r="D12" vm="48">
        <v>240.35</v>
      </c>
      <c r="E12" vm="49">
        <v>96.05</v>
      </c>
      <c r="F12" vm="50">
        <v>112.93</v>
      </c>
    </row>
    <row r="13" spans="2:12" x14ac:dyDescent="0.3">
      <c r="B13" vm="51">
        <v>44944</v>
      </c>
      <c r="C13" vm="52">
        <v>135.21</v>
      </c>
      <c r="D13" vm="53">
        <v>235.81</v>
      </c>
      <c r="E13" vm="54">
        <v>95.46</v>
      </c>
      <c r="F13" vm="55">
        <v>110.61</v>
      </c>
    </row>
    <row r="14" spans="2:12" x14ac:dyDescent="0.3">
      <c r="B14" vm="56">
        <v>44945</v>
      </c>
      <c r="C14" vm="57">
        <v>135.27000000000001</v>
      </c>
      <c r="D14" vm="58">
        <v>231.93</v>
      </c>
      <c r="E14" vm="59">
        <v>93.68</v>
      </c>
      <c r="F14" vm="60">
        <v>111.32</v>
      </c>
    </row>
    <row r="15" spans="2:12" x14ac:dyDescent="0.3">
      <c r="B15" vm="61">
        <v>44946</v>
      </c>
      <c r="C15" vm="62">
        <v>137.87</v>
      </c>
      <c r="D15" vm="63">
        <v>240.22</v>
      </c>
      <c r="E15" vm="64">
        <v>97.25</v>
      </c>
      <c r="F15" vm="65">
        <v>113.35</v>
      </c>
    </row>
    <row r="16" spans="2:12" x14ac:dyDescent="0.3">
      <c r="B16" vm="66">
        <v>44949</v>
      </c>
      <c r="C16" vm="67">
        <v>141.11000000000001</v>
      </c>
      <c r="D16" vm="68">
        <v>242.58</v>
      </c>
      <c r="E16" vm="69">
        <v>97.52</v>
      </c>
      <c r="F16" vm="70">
        <v>112.76</v>
      </c>
    </row>
    <row r="17" spans="2:6" x14ac:dyDescent="0.3">
      <c r="B17" vm="71">
        <v>44950</v>
      </c>
      <c r="C17" vm="72">
        <v>142.53</v>
      </c>
      <c r="D17" vm="73">
        <v>242.04</v>
      </c>
      <c r="E17" vm="74">
        <v>96.32</v>
      </c>
      <c r="F17" vm="75">
        <v>113.81</v>
      </c>
    </row>
    <row r="18" spans="2:6" x14ac:dyDescent="0.3">
      <c r="B18" vm="76">
        <v>44951</v>
      </c>
      <c r="C18" vm="77">
        <v>141.86000000000001</v>
      </c>
      <c r="D18" vm="78">
        <v>240.61</v>
      </c>
      <c r="E18" vm="79">
        <v>97.18</v>
      </c>
      <c r="F18" vm="80">
        <v>113.21</v>
      </c>
    </row>
    <row r="19" spans="2:6" x14ac:dyDescent="0.3">
      <c r="B19" vm="81">
        <v>44952</v>
      </c>
      <c r="C19" vm="82">
        <v>143.96</v>
      </c>
      <c r="D19" vm="83">
        <v>248</v>
      </c>
      <c r="E19" vm="84">
        <v>99.22</v>
      </c>
      <c r="F19" vm="85">
        <v>117.76</v>
      </c>
    </row>
    <row r="20" spans="2:6" x14ac:dyDescent="0.3">
      <c r="B20" vm="86">
        <v>44953</v>
      </c>
      <c r="C20" vm="87">
        <v>145.93</v>
      </c>
      <c r="D20" vm="88">
        <v>248.16</v>
      </c>
      <c r="E20" vm="89">
        <v>102.24</v>
      </c>
      <c r="F20" vm="90">
        <v>115.61</v>
      </c>
    </row>
    <row r="21" spans="2:6" x14ac:dyDescent="0.3">
      <c r="B21" vm="91">
        <v>44956</v>
      </c>
      <c r="C21" vm="92">
        <v>143</v>
      </c>
      <c r="D21" vm="93">
        <v>242.71</v>
      </c>
      <c r="E21" vm="94">
        <v>100.55</v>
      </c>
      <c r="F21" vm="95">
        <v>113.56</v>
      </c>
    </row>
    <row r="22" spans="2:6" x14ac:dyDescent="0.3">
      <c r="B22" vm="96">
        <v>44957</v>
      </c>
      <c r="C22" vm="97">
        <v>144.29</v>
      </c>
      <c r="D22" vm="98">
        <v>247.81</v>
      </c>
      <c r="E22" vm="99">
        <v>103.13</v>
      </c>
      <c r="F22" vm="100">
        <v>116.01</v>
      </c>
    </row>
    <row r="23" spans="2:6" x14ac:dyDescent="0.3">
      <c r="B23" vm="101">
        <v>44958</v>
      </c>
      <c r="C23" vm="102">
        <v>145.43</v>
      </c>
      <c r="D23" vm="103">
        <v>252.75</v>
      </c>
      <c r="E23" vm="104">
        <v>105.15</v>
      </c>
      <c r="F23" vm="105">
        <v>114.74</v>
      </c>
    </row>
    <row r="24" spans="2:6" x14ac:dyDescent="0.3">
      <c r="B24" vm="106">
        <v>44959</v>
      </c>
      <c r="C24" vm="107">
        <v>150.82</v>
      </c>
      <c r="D24" vm="108">
        <v>264.60000000000002</v>
      </c>
      <c r="E24" vm="109">
        <v>112.91</v>
      </c>
      <c r="F24" vm="110">
        <v>111.15</v>
      </c>
    </row>
    <row r="25" spans="2:6" x14ac:dyDescent="0.3">
      <c r="B25" vm="111">
        <v>44960</v>
      </c>
      <c r="C25" vm="112">
        <v>154.5</v>
      </c>
      <c r="D25" vm="113">
        <v>258.35000000000002</v>
      </c>
      <c r="E25" vm="114">
        <v>103.39</v>
      </c>
      <c r="F25" vm="115">
        <v>111.92</v>
      </c>
    </row>
    <row r="26" spans="2:6" x14ac:dyDescent="0.3">
      <c r="B26" vm="116">
        <v>44963</v>
      </c>
      <c r="C26" vm="117">
        <v>151.72999999999999</v>
      </c>
      <c r="D26" vm="118">
        <v>256.77</v>
      </c>
      <c r="E26" vm="119">
        <v>102.18</v>
      </c>
      <c r="F26" vm="120">
        <v>111.73</v>
      </c>
    </row>
    <row r="27" spans="2:6" x14ac:dyDescent="0.3">
      <c r="B27" vm="121">
        <v>44964</v>
      </c>
      <c r="C27" vm="122">
        <v>154.65</v>
      </c>
      <c r="D27" vm="123">
        <v>267.56</v>
      </c>
      <c r="E27" vm="124">
        <v>102.11</v>
      </c>
      <c r="F27" vm="125">
        <v>114.92</v>
      </c>
    </row>
    <row r="28" spans="2:6" x14ac:dyDescent="0.3">
      <c r="B28" vm="126">
        <v>44965</v>
      </c>
      <c r="C28" vm="127">
        <v>151.91999999999999</v>
      </c>
      <c r="D28" vm="128">
        <v>266.73</v>
      </c>
      <c r="E28" vm="129">
        <v>100.05</v>
      </c>
      <c r="F28" vm="130">
        <v>113.92</v>
      </c>
    </row>
    <row r="29" spans="2:6" x14ac:dyDescent="0.3">
      <c r="B29" vm="131">
        <v>44966</v>
      </c>
      <c r="C29" vm="132">
        <v>150.87</v>
      </c>
      <c r="D29" vm="133">
        <v>263.62</v>
      </c>
      <c r="E29" vm="134">
        <v>98.24</v>
      </c>
      <c r="F29" vm="135">
        <v>114.35</v>
      </c>
    </row>
    <row r="30" spans="2:6" x14ac:dyDescent="0.3">
      <c r="B30" vm="136">
        <v>44967</v>
      </c>
      <c r="C30" vm="137">
        <v>151.01</v>
      </c>
      <c r="D30" vm="138">
        <v>263.10000000000002</v>
      </c>
      <c r="E30" vm="139">
        <v>97.61</v>
      </c>
      <c r="F30" vm="140">
        <v>119.17</v>
      </c>
    </row>
    <row r="31" spans="2:6" x14ac:dyDescent="0.3">
      <c r="B31" vm="141">
        <v>44970</v>
      </c>
      <c r="C31" vm="142">
        <v>153.85</v>
      </c>
      <c r="D31" vm="143">
        <v>271.32</v>
      </c>
      <c r="E31" vm="144">
        <v>99.54</v>
      </c>
      <c r="F31" vm="145">
        <v>117.8</v>
      </c>
    </row>
    <row r="32" spans="2:6" x14ac:dyDescent="0.3">
      <c r="B32" vm="146">
        <v>44971</v>
      </c>
      <c r="C32" vm="147">
        <v>153.19999999999999</v>
      </c>
      <c r="D32" vm="148">
        <v>272.17</v>
      </c>
      <c r="E32" vm="149">
        <v>99.7</v>
      </c>
      <c r="F32" vm="150">
        <v>116.42</v>
      </c>
    </row>
    <row r="33" spans="2:6" x14ac:dyDescent="0.3">
      <c r="B33" vm="151">
        <v>44972</v>
      </c>
      <c r="C33" vm="152">
        <v>155.33000000000001</v>
      </c>
      <c r="D33" vm="153">
        <v>269.32</v>
      </c>
      <c r="E33" vm="154">
        <v>101.16</v>
      </c>
      <c r="F33" vm="155">
        <v>116.07</v>
      </c>
    </row>
    <row r="34" spans="2:6" x14ac:dyDescent="0.3">
      <c r="B34" vm="156">
        <v>44973</v>
      </c>
      <c r="C34" vm="157">
        <v>153.71</v>
      </c>
      <c r="D34" vm="158">
        <v>262.14999999999998</v>
      </c>
      <c r="E34" vm="159">
        <v>98.15</v>
      </c>
      <c r="F34" vm="160">
        <v>115.73</v>
      </c>
    </row>
    <row r="35" spans="2:6" x14ac:dyDescent="0.3">
      <c r="B35" vm="161">
        <v>44974</v>
      </c>
      <c r="C35" vm="162">
        <v>152.55000000000001</v>
      </c>
      <c r="D35" vm="163">
        <v>258.06</v>
      </c>
      <c r="E35" vm="164">
        <v>97.2</v>
      </c>
      <c r="F35" vm="165">
        <v>111.28</v>
      </c>
    </row>
    <row r="36" spans="2:6" x14ac:dyDescent="0.3">
      <c r="B36" vm="166">
        <v>44978</v>
      </c>
      <c r="C36" vm="167">
        <v>148.47999999999999</v>
      </c>
      <c r="D36" vm="168">
        <v>252.67</v>
      </c>
      <c r="E36" vm="169">
        <v>94.58</v>
      </c>
      <c r="F36" vm="170">
        <v>111.17</v>
      </c>
    </row>
    <row r="37" spans="2:6" x14ac:dyDescent="0.3">
      <c r="B37" vm="171">
        <v>44979</v>
      </c>
      <c r="C37" vm="172">
        <v>148.91</v>
      </c>
      <c r="D37" vm="173">
        <v>251.51</v>
      </c>
      <c r="E37" vm="174">
        <v>95.79</v>
      </c>
      <c r="F37" vm="175">
        <v>109.73</v>
      </c>
    </row>
    <row r="38" spans="2:6" x14ac:dyDescent="0.3">
      <c r="B38" vm="176">
        <v>44980</v>
      </c>
      <c r="C38" vm="177">
        <v>149.4</v>
      </c>
      <c r="D38" vm="178">
        <v>254.77</v>
      </c>
      <c r="E38" vm="179">
        <v>95.82</v>
      </c>
      <c r="F38" vm="180">
        <v>110.74</v>
      </c>
    </row>
    <row r="39" spans="2:6" x14ac:dyDescent="0.3">
      <c r="B39" vm="181">
        <v>44981</v>
      </c>
      <c r="C39" vm="182">
        <v>146.71</v>
      </c>
      <c r="D39" vm="183">
        <v>249.22</v>
      </c>
      <c r="E39" vm="184">
        <v>93.5</v>
      </c>
      <c r="F39" vm="185">
        <v>110.75</v>
      </c>
    </row>
    <row r="40" spans="2:6" x14ac:dyDescent="0.3">
      <c r="B40" vm="186">
        <v>44984</v>
      </c>
      <c r="C40" vm="187">
        <v>147.91999999999999</v>
      </c>
      <c r="D40" vm="188">
        <v>250.16</v>
      </c>
      <c r="E40" vm="189">
        <v>93.76</v>
      </c>
      <c r="F40" vm="190">
        <v>110.55</v>
      </c>
    </row>
    <row r="41" spans="2:6" x14ac:dyDescent="0.3">
      <c r="B41" vm="191">
        <v>44985</v>
      </c>
      <c r="C41" vm="192">
        <v>147.41</v>
      </c>
      <c r="D41" vm="193">
        <v>249.42</v>
      </c>
      <c r="E41" vm="194">
        <v>94.23</v>
      </c>
      <c r="F41" vm="195">
        <v>109.91</v>
      </c>
    </row>
    <row r="42" spans="2:6" x14ac:dyDescent="0.3">
      <c r="B42" vm="196">
        <v>44986</v>
      </c>
      <c r="C42" vm="197">
        <v>145.31</v>
      </c>
      <c r="D42" vm="198">
        <v>246.27</v>
      </c>
      <c r="E42" vm="199">
        <v>92.17</v>
      </c>
      <c r="F42" vm="200">
        <v>110.89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901F-80BB-9C48-8078-250293DB4F0C}">
  <sheetPr codeName="Sheet3"/>
  <dimension ref="B2:H63"/>
  <sheetViews>
    <sheetView showGridLines="0" zoomScale="107" zoomScaleNormal="110" workbookViewId="0">
      <selection activeCell="B2" sqref="B2:C33"/>
    </sheetView>
  </sheetViews>
  <sheetFormatPr defaultColWidth="11.19921875" defaultRowHeight="15.6" x14ac:dyDescent="0.3"/>
  <cols>
    <col min="1" max="1" width="4.296875" customWidth="1"/>
    <col min="2" max="2" width="10" bestFit="1" customWidth="1"/>
    <col min="3" max="3" width="11.796875" bestFit="1" customWidth="1"/>
    <col min="6" max="6" width="11.19921875" customWidth="1"/>
  </cols>
  <sheetData>
    <row r="2" spans="2:8" ht="16.2" thickBot="1" x14ac:dyDescent="0.35">
      <c r="B2" s="6" t="s">
        <v>8</v>
      </c>
      <c r="C2" s="6" t="s">
        <v>0</v>
      </c>
    </row>
    <row r="3" spans="2:8" x14ac:dyDescent="0.3">
      <c r="B3" s="2">
        <v>12</v>
      </c>
      <c r="C3" s="5">
        <v>10555</v>
      </c>
      <c r="E3" s="14" t="s">
        <v>8</v>
      </c>
      <c r="F3" s="14"/>
      <c r="G3" s="14" t="s">
        <v>0</v>
      </c>
      <c r="H3" s="14"/>
    </row>
    <row r="4" spans="2:8" x14ac:dyDescent="0.3">
      <c r="B4" s="2">
        <v>15</v>
      </c>
      <c r="C4" s="5">
        <v>12499</v>
      </c>
    </row>
    <row r="5" spans="2:8" x14ac:dyDescent="0.3">
      <c r="B5" s="2">
        <v>15</v>
      </c>
      <c r="C5" s="5">
        <v>12400</v>
      </c>
      <c r="E5" t="s">
        <v>13</v>
      </c>
      <c r="F5">
        <v>47.58064516129032</v>
      </c>
      <c r="G5" t="s">
        <v>13</v>
      </c>
      <c r="H5">
        <v>24068.807767741935</v>
      </c>
    </row>
    <row r="6" spans="2:8" x14ac:dyDescent="0.3">
      <c r="B6" s="2">
        <v>10</v>
      </c>
      <c r="C6" s="5">
        <v>11000</v>
      </c>
      <c r="E6" t="s">
        <v>14</v>
      </c>
      <c r="F6">
        <v>3.8025950939445496</v>
      </c>
      <c r="G6" t="s">
        <v>14</v>
      </c>
      <c r="H6">
        <v>1425.2152153482034</v>
      </c>
    </row>
    <row r="7" spans="2:8" x14ac:dyDescent="0.3">
      <c r="B7" s="2">
        <v>14</v>
      </c>
      <c r="C7" s="5">
        <v>12399</v>
      </c>
      <c r="E7" t="s">
        <v>15</v>
      </c>
      <c r="F7">
        <v>48</v>
      </c>
      <c r="G7" t="s">
        <v>15</v>
      </c>
      <c r="H7">
        <v>24585</v>
      </c>
    </row>
    <row r="8" spans="2:8" x14ac:dyDescent="0.3">
      <c r="B8" s="2">
        <v>34</v>
      </c>
      <c r="C8" s="5">
        <v>19880</v>
      </c>
      <c r="E8" t="s">
        <v>16</v>
      </c>
      <c r="F8">
        <v>70</v>
      </c>
      <c r="G8" t="s">
        <v>16</v>
      </c>
      <c r="H8">
        <v>28778</v>
      </c>
    </row>
    <row r="9" spans="2:8" x14ac:dyDescent="0.3">
      <c r="B9" s="2">
        <v>45</v>
      </c>
      <c r="C9" s="5">
        <v>22569</v>
      </c>
      <c r="E9" t="s">
        <v>17</v>
      </c>
      <c r="F9">
        <v>21.171953450336741</v>
      </c>
      <c r="G9" t="s">
        <v>17</v>
      </c>
      <c r="H9">
        <v>7935.2624853788411</v>
      </c>
    </row>
    <row r="10" spans="2:8" x14ac:dyDescent="0.3">
      <c r="B10" s="2">
        <v>20</v>
      </c>
      <c r="C10" s="5">
        <v>12008</v>
      </c>
      <c r="E10" t="s">
        <v>18</v>
      </c>
      <c r="F10">
        <v>448.25161290322575</v>
      </c>
      <c r="G10" t="s">
        <v>18</v>
      </c>
      <c r="H10">
        <v>62968390.711860783</v>
      </c>
    </row>
    <row r="11" spans="2:8" x14ac:dyDescent="0.3">
      <c r="B11" s="2">
        <v>45</v>
      </c>
      <c r="C11" s="5">
        <v>23663</v>
      </c>
      <c r="E11" t="s">
        <v>19</v>
      </c>
      <c r="F11">
        <v>-1.0942597292524305</v>
      </c>
      <c r="G11" t="s">
        <v>19</v>
      </c>
      <c r="H11">
        <v>-1.0905325782144679</v>
      </c>
    </row>
    <row r="12" spans="2:8" x14ac:dyDescent="0.3">
      <c r="B12" s="2">
        <v>48</v>
      </c>
      <c r="C12" s="5">
        <v>24585</v>
      </c>
      <c r="E12" t="s">
        <v>20</v>
      </c>
      <c r="F12">
        <v>-0.42568070121741797</v>
      </c>
      <c r="G12" t="s">
        <v>20</v>
      </c>
      <c r="H12">
        <v>-0.44040632710593253</v>
      </c>
    </row>
    <row r="13" spans="2:8" x14ac:dyDescent="0.3">
      <c r="B13" s="2">
        <v>55</v>
      </c>
      <c r="C13" s="5">
        <f>C12*1.1</f>
        <v>27043.500000000004</v>
      </c>
      <c r="E13" t="s">
        <v>21</v>
      </c>
      <c r="F13">
        <v>65</v>
      </c>
      <c r="G13" t="s">
        <v>21</v>
      </c>
      <c r="H13">
        <v>25370</v>
      </c>
    </row>
    <row r="14" spans="2:8" x14ac:dyDescent="0.3">
      <c r="B14" s="2">
        <v>60</v>
      </c>
      <c r="C14" s="5">
        <f>C13*1.1</f>
        <v>29747.850000000006</v>
      </c>
      <c r="E14" t="s">
        <v>22</v>
      </c>
      <c r="F14">
        <v>10</v>
      </c>
      <c r="G14" t="s">
        <v>22</v>
      </c>
      <c r="H14">
        <v>10555</v>
      </c>
    </row>
    <row r="15" spans="2:8" x14ac:dyDescent="0.3">
      <c r="B15" s="2">
        <v>62</v>
      </c>
      <c r="C15" s="5">
        <v>28778</v>
      </c>
      <c r="E15" t="s">
        <v>23</v>
      </c>
      <c r="F15">
        <v>75</v>
      </c>
      <c r="G15" t="s">
        <v>23</v>
      </c>
      <c r="H15">
        <v>35925</v>
      </c>
    </row>
    <row r="16" spans="2:8" x14ac:dyDescent="0.3">
      <c r="B16" s="2">
        <v>61</v>
      </c>
      <c r="C16" s="5">
        <v>21136</v>
      </c>
      <c r="E16" t="s">
        <v>24</v>
      </c>
      <c r="F16">
        <v>1475</v>
      </c>
      <c r="G16" t="s">
        <v>24</v>
      </c>
      <c r="H16">
        <v>746133.04079999996</v>
      </c>
    </row>
    <row r="17" spans="2:8" ht="16.2" thickBot="1" x14ac:dyDescent="0.35">
      <c r="B17" s="2">
        <v>69</v>
      </c>
      <c r="C17" s="5">
        <v>23458</v>
      </c>
      <c r="E17" s="13" t="s">
        <v>25</v>
      </c>
      <c r="F17" s="13">
        <v>31</v>
      </c>
      <c r="G17" s="13" t="s">
        <v>25</v>
      </c>
      <c r="H17" s="13">
        <v>31</v>
      </c>
    </row>
    <row r="18" spans="2:8" x14ac:dyDescent="0.3">
      <c r="B18" s="2">
        <v>50</v>
      </c>
      <c r="C18" s="5">
        <v>22588</v>
      </c>
    </row>
    <row r="19" spans="2:8" x14ac:dyDescent="0.3">
      <c r="B19" s="2">
        <v>45</v>
      </c>
      <c r="C19" s="5">
        <v>19550</v>
      </c>
    </row>
    <row r="20" spans="2:8" x14ac:dyDescent="0.3">
      <c r="B20" s="2">
        <v>40</v>
      </c>
      <c r="C20" s="5">
        <v>22202</v>
      </c>
    </row>
    <row r="21" spans="2:8" x14ac:dyDescent="0.3">
      <c r="B21" s="2">
        <v>65</v>
      </c>
      <c r="C21" s="5">
        <v>30668</v>
      </c>
    </row>
    <row r="22" spans="2:8" x14ac:dyDescent="0.3">
      <c r="B22" s="2">
        <v>70</v>
      </c>
      <c r="C22" s="5">
        <v>31549</v>
      </c>
    </row>
    <row r="23" spans="2:8" x14ac:dyDescent="0.3">
      <c r="B23" s="2">
        <v>70</v>
      </c>
      <c r="C23" s="5">
        <v>29998</v>
      </c>
    </row>
    <row r="24" spans="2:8" x14ac:dyDescent="0.3">
      <c r="B24" s="2">
        <v>25</v>
      </c>
      <c r="C24" s="5">
        <v>12558</v>
      </c>
    </row>
    <row r="25" spans="2:8" x14ac:dyDescent="0.3">
      <c r="B25" s="2">
        <v>65</v>
      </c>
      <c r="C25" s="5">
        <v>25372</v>
      </c>
    </row>
    <row r="26" spans="2:8" x14ac:dyDescent="0.3">
      <c r="B26" s="2">
        <v>70</v>
      </c>
      <c r="C26" s="5">
        <v>32220</v>
      </c>
    </row>
    <row r="27" spans="2:8" x14ac:dyDescent="0.3">
      <c r="B27" s="2">
        <v>75</v>
      </c>
      <c r="C27" s="5">
        <v>33698</v>
      </c>
    </row>
    <row r="28" spans="2:8" x14ac:dyDescent="0.3">
      <c r="B28" s="2">
        <v>75</v>
      </c>
      <c r="C28" s="5">
        <v>35925</v>
      </c>
    </row>
    <row r="29" spans="2:8" x14ac:dyDescent="0.3">
      <c r="B29" s="2">
        <v>72</v>
      </c>
      <c r="C29" s="5">
        <v>31458</v>
      </c>
    </row>
    <row r="30" spans="2:8" x14ac:dyDescent="0.3">
      <c r="B30" s="2">
        <v>70</v>
      </c>
      <c r="C30" s="5">
        <v>28778</v>
      </c>
    </row>
    <row r="31" spans="2:8" x14ac:dyDescent="0.3">
      <c r="B31" s="2">
        <v>40</v>
      </c>
      <c r="C31" s="5">
        <v>33277</v>
      </c>
    </row>
    <row r="32" spans="2:8" x14ac:dyDescent="0.3">
      <c r="B32" s="2">
        <v>40</v>
      </c>
      <c r="C32" s="5">
        <f>C31*0.98</f>
        <v>32611.46</v>
      </c>
    </row>
    <row r="33" spans="2:3" x14ac:dyDescent="0.3">
      <c r="B33" s="2">
        <v>38</v>
      </c>
      <c r="C33" s="5">
        <f>C32*0.98</f>
        <v>31959.230799999998</v>
      </c>
    </row>
    <row r="34" spans="2:3" x14ac:dyDescent="0.3">
      <c r="C34" s="1"/>
    </row>
    <row r="35" spans="2:3" x14ac:dyDescent="0.3">
      <c r="C35" s="1"/>
    </row>
    <row r="36" spans="2:3" x14ac:dyDescent="0.3">
      <c r="C36" s="1"/>
    </row>
    <row r="37" spans="2:3" x14ac:dyDescent="0.3">
      <c r="C37" s="1"/>
    </row>
    <row r="38" spans="2:3" x14ac:dyDescent="0.3">
      <c r="C38" s="1"/>
    </row>
    <row r="39" spans="2:3" x14ac:dyDescent="0.3">
      <c r="C39" s="1"/>
    </row>
    <row r="40" spans="2:3" x14ac:dyDescent="0.3">
      <c r="C40" s="1"/>
    </row>
    <row r="41" spans="2:3" x14ac:dyDescent="0.3">
      <c r="C41" s="1"/>
    </row>
    <row r="42" spans="2:3" x14ac:dyDescent="0.3">
      <c r="C42" s="1"/>
    </row>
    <row r="43" spans="2:3" x14ac:dyDescent="0.3">
      <c r="C43" s="1"/>
    </row>
    <row r="44" spans="2:3" x14ac:dyDescent="0.3">
      <c r="C44" s="1"/>
    </row>
    <row r="45" spans="2:3" x14ac:dyDescent="0.3">
      <c r="C45" s="1"/>
    </row>
    <row r="46" spans="2:3" x14ac:dyDescent="0.3">
      <c r="C46" s="1"/>
    </row>
    <row r="47" spans="2:3" x14ac:dyDescent="0.3">
      <c r="C47" s="1"/>
    </row>
    <row r="48" spans="2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B3D1-BC77-4930-B216-8D8CAF78AB05}">
  <sheetPr codeName="Sheet5"/>
  <dimension ref="A2:P33"/>
  <sheetViews>
    <sheetView showGridLines="0" topLeftCell="H1" zoomScale="120" zoomScaleNormal="120" workbookViewId="0">
      <selection activeCell="L8" sqref="L8"/>
    </sheetView>
  </sheetViews>
  <sheetFormatPr defaultColWidth="8.796875" defaultRowHeight="15.6" x14ac:dyDescent="0.3"/>
  <cols>
    <col min="1" max="1" width="5.69921875" customWidth="1"/>
    <col min="2" max="2" width="14.296875" customWidth="1"/>
    <col min="3" max="3" width="11.296875" customWidth="1"/>
    <col min="4" max="4" width="9.796875" customWidth="1"/>
    <col min="5" max="5" width="4.796875" customWidth="1"/>
    <col min="8" max="8" width="17.3984375" bestFit="1" customWidth="1"/>
    <col min="11" max="12" width="11.8984375" bestFit="1" customWidth="1"/>
    <col min="13" max="13" width="12.5" bestFit="1" customWidth="1"/>
  </cols>
  <sheetData>
    <row r="2" spans="1:13" ht="16.95" customHeight="1" x14ac:dyDescent="0.3">
      <c r="B2" s="9" t="s">
        <v>9</v>
      </c>
      <c r="C2" s="9" t="s">
        <v>8</v>
      </c>
      <c r="D2" s="9" t="s">
        <v>0</v>
      </c>
    </row>
    <row r="3" spans="1:13" x14ac:dyDescent="0.3">
      <c r="A3" s="10"/>
      <c r="B3" s="11">
        <v>10.5</v>
      </c>
      <c r="C3" s="2">
        <v>12</v>
      </c>
      <c r="D3" s="5">
        <v>10555</v>
      </c>
      <c r="H3" t="s">
        <v>26</v>
      </c>
    </row>
    <row r="4" spans="1:13" ht="16.2" thickBot="1" x14ac:dyDescent="0.35">
      <c r="A4" s="10"/>
      <c r="B4" s="11">
        <v>11.1</v>
      </c>
      <c r="C4" s="2">
        <v>15</v>
      </c>
      <c r="D4" s="5">
        <v>12499</v>
      </c>
    </row>
    <row r="5" spans="1:13" x14ac:dyDescent="0.3">
      <c r="A5" s="10"/>
      <c r="B5" s="11">
        <v>11.4</v>
      </c>
      <c r="C5" s="2">
        <v>15</v>
      </c>
      <c r="D5" s="5">
        <v>12400</v>
      </c>
      <c r="H5" s="15" t="s">
        <v>27</v>
      </c>
      <c r="I5" s="15"/>
    </row>
    <row r="6" spans="1:13" x14ac:dyDescent="0.3">
      <c r="A6" s="10"/>
      <c r="B6" s="11">
        <v>9.6</v>
      </c>
      <c r="C6" s="2">
        <v>10</v>
      </c>
      <c r="D6" s="5">
        <v>11000</v>
      </c>
      <c r="H6" t="s">
        <v>28</v>
      </c>
      <c r="I6">
        <v>0.84827645731860801</v>
      </c>
    </row>
    <row r="7" spans="1:13" x14ac:dyDescent="0.3">
      <c r="A7" s="10"/>
      <c r="B7" s="11">
        <v>10.5</v>
      </c>
      <c r="C7" s="2">
        <v>14</v>
      </c>
      <c r="D7" s="5">
        <v>12399</v>
      </c>
      <c r="H7" t="s">
        <v>29</v>
      </c>
      <c r="I7">
        <v>0.71957294804100813</v>
      </c>
    </row>
    <row r="8" spans="1:13" x14ac:dyDescent="0.3">
      <c r="A8" s="10"/>
      <c r="B8" s="11">
        <v>18</v>
      </c>
      <c r="C8" s="2">
        <v>34</v>
      </c>
      <c r="D8" s="5">
        <v>19880</v>
      </c>
      <c r="H8" t="s">
        <v>30</v>
      </c>
      <c r="I8">
        <v>0.69954244432965151</v>
      </c>
    </row>
    <row r="9" spans="1:13" x14ac:dyDescent="0.3">
      <c r="A9" s="10"/>
      <c r="B9" s="11">
        <v>11</v>
      </c>
      <c r="C9" s="2">
        <v>45</v>
      </c>
      <c r="D9" s="5">
        <v>22569</v>
      </c>
      <c r="H9" t="s">
        <v>14</v>
      </c>
      <c r="I9">
        <v>4349.6354741266668</v>
      </c>
    </row>
    <row r="10" spans="1:13" ht="16.2" thickBot="1" x14ac:dyDescent="0.35">
      <c r="A10" s="10"/>
      <c r="B10" s="11">
        <v>14</v>
      </c>
      <c r="C10" s="2">
        <v>20</v>
      </c>
      <c r="D10" s="5">
        <v>12008</v>
      </c>
      <c r="H10" s="13" t="s">
        <v>31</v>
      </c>
      <c r="I10" s="13">
        <v>31</v>
      </c>
    </row>
    <row r="11" spans="1:13" x14ac:dyDescent="0.3">
      <c r="A11" s="10"/>
      <c r="B11" s="11">
        <v>11</v>
      </c>
      <c r="C11" s="2">
        <v>45</v>
      </c>
      <c r="D11" s="5">
        <v>23663</v>
      </c>
    </row>
    <row r="12" spans="1:13" ht="16.2" thickBot="1" x14ac:dyDescent="0.35">
      <c r="A12" s="10"/>
      <c r="B12" s="11">
        <v>11</v>
      </c>
      <c r="C12" s="2">
        <v>48</v>
      </c>
      <c r="D12" s="5">
        <v>24585</v>
      </c>
      <c r="H12" t="s">
        <v>32</v>
      </c>
    </row>
    <row r="13" spans="1:13" x14ac:dyDescent="0.3">
      <c r="A13" s="10"/>
      <c r="B13" s="11">
        <v>12</v>
      </c>
      <c r="C13" s="2">
        <v>55</v>
      </c>
      <c r="D13" s="5">
        <f>D12*1.1</f>
        <v>27043.500000000004</v>
      </c>
      <c r="H13" s="14"/>
      <c r="I13" s="14" t="s">
        <v>37</v>
      </c>
      <c r="J13" s="14" t="s">
        <v>38</v>
      </c>
      <c r="K13" s="14" t="s">
        <v>39</v>
      </c>
      <c r="L13" s="14" t="s">
        <v>40</v>
      </c>
      <c r="M13" s="14" t="s">
        <v>41</v>
      </c>
    </row>
    <row r="14" spans="1:13" x14ac:dyDescent="0.3">
      <c r="A14" s="10"/>
      <c r="B14" s="11">
        <v>13</v>
      </c>
      <c r="C14" s="2">
        <v>60</v>
      </c>
      <c r="D14" s="5">
        <f>D13*1.1</f>
        <v>29747.850000000006</v>
      </c>
      <c r="H14" t="s">
        <v>33</v>
      </c>
      <c r="I14">
        <v>2</v>
      </c>
      <c r="J14">
        <v>1359310516.1379476</v>
      </c>
      <c r="K14">
        <v>679655258.06897378</v>
      </c>
      <c r="L14">
        <v>35.923856854035918</v>
      </c>
      <c r="M14">
        <v>1.8598533001401433E-8</v>
      </c>
    </row>
    <row r="15" spans="1:13" x14ac:dyDescent="0.3">
      <c r="A15" s="10"/>
      <c r="B15" s="11">
        <v>19</v>
      </c>
      <c r="C15" s="2">
        <v>62</v>
      </c>
      <c r="D15" s="5">
        <v>28778</v>
      </c>
      <c r="H15" t="s">
        <v>34</v>
      </c>
      <c r="I15">
        <v>28</v>
      </c>
      <c r="J15">
        <v>529741205.21787107</v>
      </c>
      <c r="K15">
        <v>18919328.757781111</v>
      </c>
    </row>
    <row r="16" spans="1:13" ht="16.2" thickBot="1" x14ac:dyDescent="0.35">
      <c r="A16" s="10"/>
      <c r="B16" s="11">
        <v>19</v>
      </c>
      <c r="C16" s="2">
        <v>61</v>
      </c>
      <c r="D16" s="5">
        <v>21136</v>
      </c>
      <c r="H16" s="13" t="s">
        <v>35</v>
      </c>
      <c r="I16" s="13">
        <v>30</v>
      </c>
      <c r="J16" s="13">
        <v>1889051721.3558187</v>
      </c>
      <c r="K16" s="13"/>
      <c r="L16" s="13"/>
      <c r="M16" s="13"/>
    </row>
    <row r="17" spans="1:16" ht="16.2" thickBot="1" x14ac:dyDescent="0.35">
      <c r="A17" s="10"/>
      <c r="B17" s="11">
        <v>18</v>
      </c>
      <c r="C17" s="2">
        <v>69</v>
      </c>
      <c r="D17" s="5">
        <v>23458</v>
      </c>
    </row>
    <row r="18" spans="1:16" x14ac:dyDescent="0.3">
      <c r="A18" s="10"/>
      <c r="B18" s="11">
        <v>17</v>
      </c>
      <c r="C18" s="2">
        <v>50</v>
      </c>
      <c r="D18" s="5">
        <v>22588</v>
      </c>
      <c r="H18" s="14"/>
      <c r="I18" s="14" t="s">
        <v>42</v>
      </c>
      <c r="J18" s="14" t="s">
        <v>14</v>
      </c>
      <c r="K18" s="14" t="s">
        <v>43</v>
      </c>
      <c r="L18" s="14" t="s">
        <v>44</v>
      </c>
      <c r="M18" s="14" t="s">
        <v>45</v>
      </c>
      <c r="N18" s="14" t="s">
        <v>46</v>
      </c>
      <c r="O18" s="14" t="s">
        <v>47</v>
      </c>
      <c r="P18" s="14" t="s">
        <v>48</v>
      </c>
    </row>
    <row r="19" spans="1:16" ht="16.95" customHeight="1" x14ac:dyDescent="0.3">
      <c r="A19" s="10"/>
      <c r="B19" s="11">
        <v>16</v>
      </c>
      <c r="C19" s="2">
        <v>45</v>
      </c>
      <c r="D19" s="5">
        <v>19550</v>
      </c>
      <c r="H19" t="s">
        <v>36</v>
      </c>
      <c r="I19">
        <v>13772.438659973875</v>
      </c>
      <c r="J19">
        <v>3345.157190381809</v>
      </c>
      <c r="K19">
        <v>4.1171274998894507</v>
      </c>
      <c r="L19">
        <v>3.0671601904994609E-4</v>
      </c>
      <c r="M19">
        <v>6920.1947807680635</v>
      </c>
      <c r="N19">
        <v>20624.682539179688</v>
      </c>
      <c r="O19">
        <v>6920.1947807680635</v>
      </c>
      <c r="P19">
        <v>20624.682539179688</v>
      </c>
    </row>
    <row r="20" spans="1:16" ht="16.95" customHeight="1" x14ac:dyDescent="0.3">
      <c r="A20" s="10"/>
      <c r="B20" s="11">
        <v>15</v>
      </c>
      <c r="C20" s="2">
        <v>40</v>
      </c>
      <c r="D20" s="5">
        <v>22202</v>
      </c>
      <c r="H20" t="s">
        <v>9</v>
      </c>
      <c r="I20">
        <v>-482.61977698129925</v>
      </c>
      <c r="J20">
        <v>289.36542534016178</v>
      </c>
      <c r="K20">
        <v>-1.6678557101767031</v>
      </c>
      <c r="L20">
        <v>0.1064917101260712</v>
      </c>
      <c r="M20">
        <v>-1075.3579808367053</v>
      </c>
      <c r="N20">
        <v>110.11842687410677</v>
      </c>
      <c r="O20">
        <v>-1075.3579808367053</v>
      </c>
      <c r="P20">
        <v>110.11842687410677</v>
      </c>
    </row>
    <row r="21" spans="1:16" ht="16.2" thickBot="1" x14ac:dyDescent="0.35">
      <c r="A21" s="10"/>
      <c r="B21" s="11">
        <v>15</v>
      </c>
      <c r="C21" s="2">
        <v>65</v>
      </c>
      <c r="D21" s="5">
        <v>30668</v>
      </c>
      <c r="H21" s="13" t="s">
        <v>8</v>
      </c>
      <c r="I21" s="13">
        <v>365.96131688065208</v>
      </c>
      <c r="J21" s="13">
        <v>49.644618560219143</v>
      </c>
      <c r="K21" s="13">
        <v>7.3716210838993428</v>
      </c>
      <c r="L21" s="13">
        <v>5.002042715240212E-8</v>
      </c>
      <c r="M21" s="13">
        <v>264.26892567019843</v>
      </c>
      <c r="N21" s="13">
        <v>467.65370809110573</v>
      </c>
      <c r="O21" s="13">
        <v>264.26892567019843</v>
      </c>
      <c r="P21" s="13">
        <v>467.65370809110573</v>
      </c>
    </row>
    <row r="22" spans="1:16" x14ac:dyDescent="0.3">
      <c r="A22" s="10"/>
      <c r="B22" s="11">
        <v>15</v>
      </c>
      <c r="C22" s="2">
        <v>70</v>
      </c>
      <c r="D22" s="5">
        <v>31549</v>
      </c>
    </row>
    <row r="23" spans="1:16" x14ac:dyDescent="0.3">
      <c r="A23" s="10"/>
      <c r="B23" s="11">
        <v>15</v>
      </c>
      <c r="C23" s="2">
        <v>70</v>
      </c>
      <c r="D23" s="5">
        <v>29998</v>
      </c>
    </row>
    <row r="24" spans="1:16" x14ac:dyDescent="0.3">
      <c r="A24" s="10"/>
      <c r="B24" s="11">
        <v>16</v>
      </c>
      <c r="C24" s="2">
        <v>25</v>
      </c>
      <c r="D24" s="5">
        <v>12558</v>
      </c>
    </row>
    <row r="25" spans="1:16" x14ac:dyDescent="0.3">
      <c r="A25" s="10"/>
      <c r="B25" s="11">
        <v>19</v>
      </c>
      <c r="C25" s="2">
        <v>65</v>
      </c>
      <c r="D25" s="5">
        <v>25372</v>
      </c>
    </row>
    <row r="26" spans="1:16" x14ac:dyDescent="0.3">
      <c r="A26" s="10"/>
      <c r="B26" s="11">
        <v>19</v>
      </c>
      <c r="C26" s="2">
        <v>70</v>
      </c>
      <c r="D26" s="5">
        <v>32220</v>
      </c>
    </row>
    <row r="27" spans="1:16" x14ac:dyDescent="0.3">
      <c r="A27" s="10"/>
      <c r="B27" s="11">
        <v>19</v>
      </c>
      <c r="C27" s="2">
        <v>75</v>
      </c>
      <c r="D27" s="5">
        <v>33698</v>
      </c>
    </row>
    <row r="28" spans="1:16" x14ac:dyDescent="0.3">
      <c r="A28" s="10"/>
      <c r="B28" s="11">
        <v>22</v>
      </c>
      <c r="C28" s="2">
        <v>75</v>
      </c>
      <c r="D28" s="5">
        <v>35925</v>
      </c>
    </row>
    <row r="29" spans="1:16" x14ac:dyDescent="0.3">
      <c r="A29" s="10"/>
      <c r="B29" s="11">
        <v>22</v>
      </c>
      <c r="C29" s="2">
        <v>72</v>
      </c>
      <c r="D29" s="5">
        <v>31458</v>
      </c>
    </row>
    <row r="30" spans="1:16" x14ac:dyDescent="0.3">
      <c r="A30" s="10"/>
      <c r="B30" s="11">
        <v>12</v>
      </c>
      <c r="C30" s="2">
        <v>70</v>
      </c>
      <c r="D30" s="5">
        <v>28778</v>
      </c>
    </row>
    <row r="31" spans="1:16" x14ac:dyDescent="0.3">
      <c r="A31" s="10"/>
      <c r="B31" s="11">
        <v>12</v>
      </c>
      <c r="C31" s="2">
        <v>40</v>
      </c>
      <c r="D31" s="5">
        <v>33277</v>
      </c>
    </row>
    <row r="32" spans="1:16" x14ac:dyDescent="0.3">
      <c r="A32" s="10"/>
      <c r="B32" s="11">
        <v>12</v>
      </c>
      <c r="C32" s="2">
        <v>40</v>
      </c>
      <c r="D32" s="5">
        <f>D31*0.98</f>
        <v>32611.46</v>
      </c>
    </row>
    <row r="33" spans="1:4" x14ac:dyDescent="0.3">
      <c r="A33" s="10"/>
      <c r="B33" s="11">
        <v>12</v>
      </c>
      <c r="C33" s="2">
        <v>38</v>
      </c>
      <c r="D33" s="5">
        <f>D32*0.98</f>
        <v>31959.230799999998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E127-3FA9-4817-8BBF-F6D946960F2B}">
  <dimension ref="A1:B32"/>
  <sheetViews>
    <sheetView workbookViewId="0">
      <selection sqref="A1:B32"/>
    </sheetView>
  </sheetViews>
  <sheetFormatPr defaultRowHeight="15.6" x14ac:dyDescent="0.3"/>
  <cols>
    <col min="1" max="1" width="10.09765625" bestFit="1" customWidth="1"/>
  </cols>
  <sheetData>
    <row r="1" spans="1:2" x14ac:dyDescent="0.3">
      <c r="A1" s="6" t="s">
        <v>8</v>
      </c>
      <c r="B1" s="6" t="s">
        <v>0</v>
      </c>
    </row>
    <row r="2" spans="1:2" x14ac:dyDescent="0.3">
      <c r="A2" s="2">
        <v>12</v>
      </c>
      <c r="B2" s="5">
        <v>10555</v>
      </c>
    </row>
    <row r="3" spans="1:2" x14ac:dyDescent="0.3">
      <c r="A3" s="2">
        <v>15</v>
      </c>
      <c r="B3" s="5">
        <v>12499</v>
      </c>
    </row>
    <row r="4" spans="1:2" x14ac:dyDescent="0.3">
      <c r="A4" s="2">
        <v>15</v>
      </c>
      <c r="B4" s="5">
        <v>12400</v>
      </c>
    </row>
    <row r="5" spans="1:2" x14ac:dyDescent="0.3">
      <c r="A5" s="2">
        <v>10</v>
      </c>
      <c r="B5" s="5">
        <v>11000</v>
      </c>
    </row>
    <row r="6" spans="1:2" x14ac:dyDescent="0.3">
      <c r="A6" s="2">
        <v>14</v>
      </c>
      <c r="B6" s="5">
        <v>12399</v>
      </c>
    </row>
    <row r="7" spans="1:2" x14ac:dyDescent="0.3">
      <c r="A7" s="2">
        <v>34</v>
      </c>
      <c r="B7" s="5">
        <v>19880</v>
      </c>
    </row>
    <row r="8" spans="1:2" x14ac:dyDescent="0.3">
      <c r="A8" s="2">
        <v>45</v>
      </c>
      <c r="B8" s="5">
        <v>22569</v>
      </c>
    </row>
    <row r="9" spans="1:2" x14ac:dyDescent="0.3">
      <c r="A9" s="2">
        <v>20</v>
      </c>
      <c r="B9" s="5">
        <v>12008</v>
      </c>
    </row>
    <row r="10" spans="1:2" x14ac:dyDescent="0.3">
      <c r="A10" s="2">
        <v>45</v>
      </c>
      <c r="B10" s="5">
        <v>23663</v>
      </c>
    </row>
    <row r="11" spans="1:2" x14ac:dyDescent="0.3">
      <c r="A11" s="2">
        <v>48</v>
      </c>
      <c r="B11" s="5">
        <v>24585</v>
      </c>
    </row>
    <row r="12" spans="1:2" x14ac:dyDescent="0.3">
      <c r="A12" s="2">
        <v>55</v>
      </c>
      <c r="B12" s="5">
        <f>B11*1.1</f>
        <v>27043.500000000004</v>
      </c>
    </row>
    <row r="13" spans="1:2" x14ac:dyDescent="0.3">
      <c r="A13" s="2">
        <v>60</v>
      </c>
      <c r="B13" s="5">
        <f>B12*1.1</f>
        <v>29747.850000000006</v>
      </c>
    </row>
    <row r="14" spans="1:2" x14ac:dyDescent="0.3">
      <c r="A14" s="2">
        <v>62</v>
      </c>
      <c r="B14" s="5">
        <v>28778</v>
      </c>
    </row>
    <row r="15" spans="1:2" x14ac:dyDescent="0.3">
      <c r="A15" s="2">
        <v>61</v>
      </c>
      <c r="B15" s="5">
        <v>21136</v>
      </c>
    </row>
    <row r="16" spans="1:2" x14ac:dyDescent="0.3">
      <c r="A16" s="2">
        <v>69</v>
      </c>
      <c r="B16" s="5">
        <v>23458</v>
      </c>
    </row>
    <row r="17" spans="1:2" x14ac:dyDescent="0.3">
      <c r="A17" s="2">
        <v>50</v>
      </c>
      <c r="B17" s="5">
        <v>22588</v>
      </c>
    </row>
    <row r="18" spans="1:2" x14ac:dyDescent="0.3">
      <c r="A18" s="2">
        <v>45</v>
      </c>
      <c r="B18" s="5">
        <v>19550</v>
      </c>
    </row>
    <row r="19" spans="1:2" x14ac:dyDescent="0.3">
      <c r="A19" s="2">
        <v>40</v>
      </c>
      <c r="B19" s="5">
        <v>22202</v>
      </c>
    </row>
    <row r="20" spans="1:2" x14ac:dyDescent="0.3">
      <c r="A20" s="2">
        <v>65</v>
      </c>
      <c r="B20" s="5">
        <v>30668</v>
      </c>
    </row>
    <row r="21" spans="1:2" x14ac:dyDescent="0.3">
      <c r="A21" s="2">
        <v>70</v>
      </c>
      <c r="B21" s="5">
        <v>31549</v>
      </c>
    </row>
    <row r="22" spans="1:2" x14ac:dyDescent="0.3">
      <c r="A22" s="2">
        <v>70</v>
      </c>
      <c r="B22" s="5">
        <v>29998</v>
      </c>
    </row>
    <row r="23" spans="1:2" x14ac:dyDescent="0.3">
      <c r="A23" s="2">
        <v>25</v>
      </c>
      <c r="B23" s="5">
        <v>12558</v>
      </c>
    </row>
    <row r="24" spans="1:2" x14ac:dyDescent="0.3">
      <c r="A24" s="2">
        <v>65</v>
      </c>
      <c r="B24" s="5">
        <v>25372</v>
      </c>
    </row>
    <row r="25" spans="1:2" x14ac:dyDescent="0.3">
      <c r="A25" s="2">
        <v>70</v>
      </c>
      <c r="B25" s="5">
        <v>32220</v>
      </c>
    </row>
    <row r="26" spans="1:2" x14ac:dyDescent="0.3">
      <c r="A26" s="2">
        <v>75</v>
      </c>
      <c r="B26" s="5">
        <v>33698</v>
      </c>
    </row>
    <row r="27" spans="1:2" x14ac:dyDescent="0.3">
      <c r="A27" s="2">
        <v>75</v>
      </c>
      <c r="B27" s="5">
        <v>35925</v>
      </c>
    </row>
    <row r="28" spans="1:2" x14ac:dyDescent="0.3">
      <c r="A28" s="2">
        <v>72</v>
      </c>
      <c r="B28" s="5">
        <v>31458</v>
      </c>
    </row>
    <row r="29" spans="1:2" x14ac:dyDescent="0.3">
      <c r="A29" s="2">
        <v>70</v>
      </c>
      <c r="B29" s="5">
        <v>28778</v>
      </c>
    </row>
    <row r="30" spans="1:2" x14ac:dyDescent="0.3">
      <c r="A30" s="2">
        <v>40</v>
      </c>
      <c r="B30" s="5">
        <v>33277</v>
      </c>
    </row>
    <row r="31" spans="1:2" x14ac:dyDescent="0.3">
      <c r="A31" s="2">
        <v>40</v>
      </c>
      <c r="B31" s="5">
        <f>B30*0.98</f>
        <v>32611.46</v>
      </c>
    </row>
    <row r="32" spans="1:2" x14ac:dyDescent="0.3">
      <c r="A32" s="2">
        <v>38</v>
      </c>
      <c r="B32" s="5">
        <f>B31*0.98</f>
        <v>31959.230799999998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forecast_sheet</vt:lpstr>
      <vt:lpstr>Forecast</vt:lpstr>
      <vt:lpstr>Correlation Analysis</vt:lpstr>
      <vt:lpstr>Descriptive Stats</vt:lpstr>
      <vt:lpstr>multiple regression</vt:lpstr>
      <vt:lpstr>Linear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2023-03-06T12:19:00Z</dcterms:created>
  <dcterms:modified xsi:type="dcterms:W3CDTF">2026-01-21T19:28:44Z</dcterms:modified>
</cp:coreProperties>
</file>