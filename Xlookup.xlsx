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36" documentId="8_{8DE2FDBE-AE0B-4D6D-B0D8-BCB419082B7E}" xr6:coauthVersionLast="47" xr6:coauthVersionMax="47" xr10:uidLastSave="{EFDD2108-8A84-465A-BD9C-D4DC31D737AE}"/>
  <bookViews>
    <workbookView xWindow="11424" yWindow="0" windowWidth="11712" windowHeight="12336" activeTab="4" xr2:uid="{F665CD7C-2AE0-1942-BB25-13F687B95C22}"/>
  </bookViews>
  <sheets>
    <sheet name="1" sheetId="2" r:id="rId1"/>
    <sheet name="2" sheetId="3" r:id="rId2"/>
    <sheet name="3" sheetId="1" r:id="rId3"/>
    <sheet name="4" sheetId="4" r:id="rId4"/>
    <sheet name="5" sheetId="6" r:id="rId5"/>
    <sheet name="Limitation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6" l="1" a="1"/>
  <c r="I3" i="6" s="1"/>
  <c r="G4" i="8"/>
  <c r="G5" i="8"/>
  <c r="G3" i="8"/>
  <c r="I4" i="6" l="1" a="1"/>
  <c r="I4" i="6" s="1"/>
  <c r="I5" i="6" a="1"/>
  <c r="I5" i="6" s="1"/>
  <c r="I6" i="6" a="1"/>
  <c r="I6" i="6" s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3" i="4"/>
  <c r="I4" i="1" a="1"/>
  <c r="I4" i="1" s="1"/>
  <c r="F3" i="3"/>
  <c r="F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<sst xmlns="http://schemas.openxmlformats.org/spreadsheetml/2006/main" count="156" uniqueCount="44">
  <si>
    <t>Employee</t>
  </si>
  <si>
    <t>Max Verstappen</t>
  </si>
  <si>
    <t>Charles Leclerc</t>
  </si>
  <si>
    <t>Sergio Perez</t>
  </si>
  <si>
    <t>George Russell</t>
  </si>
  <si>
    <t>Carlos Sainz</t>
  </si>
  <si>
    <t>Lewis Hamilton</t>
  </si>
  <si>
    <t>Lando Norris</t>
  </si>
  <si>
    <t>Esteban Ocon</t>
  </si>
  <si>
    <t>Fernando Alonso</t>
  </si>
  <si>
    <t>Valtteri Bottas</t>
  </si>
  <si>
    <t>Pierre Gasly</t>
  </si>
  <si>
    <t>Kevin Magnussen</t>
  </si>
  <si>
    <t>Sebastian Vettel</t>
  </si>
  <si>
    <t>Alex Albon</t>
  </si>
  <si>
    <t>Oscar Piastri</t>
  </si>
  <si>
    <t>Revenue</t>
  </si>
  <si>
    <t>Employee:</t>
  </si>
  <si>
    <t>Revenue:</t>
  </si>
  <si>
    <t>Max</t>
  </si>
  <si>
    <t>January</t>
  </si>
  <si>
    <t>February</t>
  </si>
  <si>
    <t>March</t>
  </si>
  <si>
    <t>April</t>
  </si>
  <si>
    <t>Month:</t>
  </si>
  <si>
    <t>New Clients</t>
  </si>
  <si>
    <t>Profit</t>
  </si>
  <si>
    <t>Rating</t>
  </si>
  <si>
    <t>5 Star</t>
  </si>
  <si>
    <t>3 Star</t>
  </si>
  <si>
    <t>2 Star</t>
  </si>
  <si>
    <t>1 Star</t>
  </si>
  <si>
    <t>4 Star</t>
  </si>
  <si>
    <t>Spain</t>
  </si>
  <si>
    <t>France</t>
  </si>
  <si>
    <t>Italy</t>
  </si>
  <si>
    <t>Germany</t>
  </si>
  <si>
    <t>Portugal</t>
  </si>
  <si>
    <t>Country</t>
  </si>
  <si>
    <t>Bonus</t>
  </si>
  <si>
    <r>
      <t>Wildcard Searches (</t>
    </r>
    <r>
      <rPr>
        <sz val="10"/>
        <color theme="1"/>
        <rFont val="Arial Unicode MS"/>
        <family val="2"/>
      </rPr>
      <t>*</t>
    </r>
    <r>
      <rPr>
        <sz val="12"/>
        <color theme="1"/>
        <rFont val="Calibri"/>
        <family val="2"/>
        <scheme val="minor"/>
      </rPr>
      <t>, match mode = 2)</t>
    </r>
  </si>
  <si>
    <t>Approximate Matches (match mode = -1)</t>
  </si>
  <si>
    <t>Nested XLOOKUPs to find values based on row + column criteria</t>
  </si>
  <si>
    <t>XLOOKUP can spill results across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</si>
</sst>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&quot;$&quot;#,##0"/>
    <numFmt numFmtId="166" formatCode="_-* #,##0_-;\-* #,##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4" fontId="2" fillId="2" borderId="0" xfId="0" applyNumberFormat="1" applyFont="1" applyFill="1" applyAlignment="1">
      <alignment horizontal="left"/>
    </xf>
    <xf numFmtId="14" fontId="2" fillId="2" borderId="0" xfId="0" applyNumberFormat="1" applyFont="1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6" fontId="2" fillId="2" borderId="0" xfId="1" applyNumberFormat="1" applyFont="1" applyFill="1" applyAlignment="1">
      <alignment horizontal="center"/>
    </xf>
    <xf numFmtId="166" fontId="0" fillId="0" borderId="0" xfId="1" applyNumberFormat="1" applyFont="1"/>
    <xf numFmtId="165" fontId="3" fillId="3" borderId="1" xfId="0" applyNumberFormat="1" applyFont="1" applyFill="1" applyBorder="1" applyAlignment="1">
      <alignment horizontal="center"/>
    </xf>
    <xf numFmtId="3" fontId="0" fillId="0" borderId="0" xfId="1" applyNumberFormat="1" applyFont="1" applyAlignment="1">
      <alignment horizontal="center" vertical="center"/>
    </xf>
    <xf numFmtId="3" fontId="0" fillId="0" borderId="0" xfId="1" applyNumberFormat="1" applyFont="1" applyBorder="1" applyAlignment="1">
      <alignment horizontal="center" vertical="center"/>
    </xf>
    <xf numFmtId="9" fontId="0" fillId="0" borderId="0" xfId="2" applyFont="1" applyBorder="1" applyAlignment="1">
      <alignment horizontal="center"/>
    </xf>
    <xf numFmtId="3" fontId="0" fillId="0" borderId="0" xfId="1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left"/>
    </xf>
  </cellXfs>
  <cellStyles count="4">
    <cellStyle name="Comma" xfId="1" builtinId="3"/>
    <cellStyle name="Hyperlink 2" xfId="3" xr:uid="{25F0C118-F608-4DEB-BC21-84BB0D5585DB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0B913-0122-5640-A754-0C39401A71D2}">
  <dimension ref="B1:F17"/>
  <sheetViews>
    <sheetView zoomScale="140" zoomScaleNormal="140" workbookViewId="0">
      <selection activeCell="E8" sqref="E8"/>
    </sheetView>
  </sheetViews>
  <sheetFormatPr defaultColWidth="11.19921875" defaultRowHeight="15.6" x14ac:dyDescent="0.3"/>
  <cols>
    <col min="1" max="1" width="3.5" customWidth="1"/>
    <col min="2" max="2" width="15.69921875" bestFit="1" customWidth="1"/>
    <col min="3" max="3" width="9.19921875" customWidth="1"/>
    <col min="4" max="4" width="7.796875" customWidth="1"/>
    <col min="5" max="5" width="9.59765625" bestFit="1" customWidth="1"/>
    <col min="6" max="6" width="11" bestFit="1" customWidth="1"/>
  </cols>
  <sheetData>
    <row r="1" spans="2:6" ht="7.95" customHeight="1" x14ac:dyDescent="0.3"/>
    <row r="2" spans="2:6" s="1" customFormat="1" x14ac:dyDescent="0.3">
      <c r="B2" s="2" t="s">
        <v>0</v>
      </c>
      <c r="C2" s="3" t="s">
        <v>16</v>
      </c>
      <c r="E2" s="4" t="s">
        <v>17</v>
      </c>
      <c r="F2" t="s">
        <v>7</v>
      </c>
    </row>
    <row r="3" spans="2:6" x14ac:dyDescent="0.3">
      <c r="B3" t="s">
        <v>1</v>
      </c>
      <c r="C3" s="9">
        <v>8151.24812152702</v>
      </c>
      <c r="E3" s="4" t="s">
        <v>18</v>
      </c>
      <c r="F3" s="8">
        <f>_xlfn.XLOOKUP(F2,B3:B17,C3:C17)</f>
        <v>6993.37653924595</v>
      </c>
    </row>
    <row r="4" spans="2:6" x14ac:dyDescent="0.3">
      <c r="B4" t="s">
        <v>2</v>
      </c>
      <c r="C4" s="9">
        <v>7755.4709019399825</v>
      </c>
    </row>
    <row r="5" spans="2:6" x14ac:dyDescent="0.3">
      <c r="B5" t="s">
        <v>3</v>
      </c>
      <c r="C5" s="9">
        <v>2092.3283139276195</v>
      </c>
    </row>
    <row r="6" spans="2:6" x14ac:dyDescent="0.3">
      <c r="B6" t="s">
        <v>4</v>
      </c>
      <c r="C6" s="9">
        <v>3380.1466125541278</v>
      </c>
    </row>
    <row r="7" spans="2:6" x14ac:dyDescent="0.3">
      <c r="B7" t="s">
        <v>5</v>
      </c>
      <c r="C7" s="9">
        <v>6964.0561728480398</v>
      </c>
    </row>
    <row r="8" spans="2:6" x14ac:dyDescent="0.3">
      <c r="B8" t="s">
        <v>6</v>
      </c>
      <c r="C8" s="9">
        <v>5012.6200229350716</v>
      </c>
    </row>
    <row r="9" spans="2:6" x14ac:dyDescent="0.3">
      <c r="B9" t="s">
        <v>7</v>
      </c>
      <c r="C9" s="9">
        <v>6993.37653924595</v>
      </c>
    </row>
    <row r="10" spans="2:6" x14ac:dyDescent="0.3">
      <c r="B10" t="s">
        <v>8</v>
      </c>
      <c r="C10" s="9">
        <v>9916.1225399862142</v>
      </c>
    </row>
    <row r="11" spans="2:6" x14ac:dyDescent="0.3">
      <c r="B11" t="s">
        <v>9</v>
      </c>
      <c r="C11" s="9">
        <v>9982.7607672833492</v>
      </c>
    </row>
    <row r="12" spans="2:6" x14ac:dyDescent="0.3">
      <c r="B12" t="s">
        <v>10</v>
      </c>
      <c r="C12" s="9">
        <v>9110.2743930674405</v>
      </c>
    </row>
    <row r="13" spans="2:6" x14ac:dyDescent="0.3">
      <c r="B13" t="s">
        <v>11</v>
      </c>
      <c r="C13" s="9">
        <v>3222.9027070160741</v>
      </c>
    </row>
    <row r="14" spans="2:6" x14ac:dyDescent="0.3">
      <c r="B14" t="s">
        <v>12</v>
      </c>
      <c r="C14" s="9">
        <v>3435.2681701390152</v>
      </c>
    </row>
    <row r="15" spans="2:6" x14ac:dyDescent="0.3">
      <c r="B15" t="s">
        <v>13</v>
      </c>
      <c r="C15" s="9">
        <v>6016.4213975740586</v>
      </c>
    </row>
    <row r="16" spans="2:6" x14ac:dyDescent="0.3">
      <c r="B16" t="s">
        <v>14</v>
      </c>
      <c r="C16" s="9">
        <v>1734.5840260811419</v>
      </c>
    </row>
    <row r="17" spans="2:3" x14ac:dyDescent="0.3">
      <c r="B17" t="s">
        <v>15</v>
      </c>
      <c r="C17" s="9">
        <v>4726.9219681522554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D83D-9FDE-1E4E-A9B3-484194D731C4}">
  <dimension ref="B1:F17"/>
  <sheetViews>
    <sheetView topLeftCell="B1" zoomScale="140" zoomScaleNormal="140" workbookViewId="0">
      <selection activeCell="E6" sqref="E6"/>
    </sheetView>
  </sheetViews>
  <sheetFormatPr defaultColWidth="11.19921875" defaultRowHeight="15.6" x14ac:dyDescent="0.3"/>
  <cols>
    <col min="1" max="1" width="3.5" customWidth="1"/>
    <col min="2" max="2" width="15.69921875" bestFit="1" customWidth="1"/>
    <col min="3" max="3" width="9.19921875" customWidth="1"/>
    <col min="4" max="4" width="7.796875" customWidth="1"/>
    <col min="6" max="6" width="13.296875" bestFit="1" customWidth="1"/>
  </cols>
  <sheetData>
    <row r="1" spans="2:6" ht="7.95" customHeight="1" x14ac:dyDescent="0.3"/>
    <row r="2" spans="2:6" s="1" customFormat="1" x14ac:dyDescent="0.3">
      <c r="B2" s="2" t="s">
        <v>0</v>
      </c>
      <c r="C2" s="3" t="s">
        <v>16</v>
      </c>
      <c r="E2" s="4" t="s">
        <v>17</v>
      </c>
      <c r="F2" s="5" t="s">
        <v>19</v>
      </c>
    </row>
    <row r="3" spans="2:6" x14ac:dyDescent="0.3">
      <c r="B3" t="s">
        <v>1</v>
      </c>
      <c r="C3" s="9">
        <v>8151.24812152702</v>
      </c>
      <c r="E3" s="4" t="s">
        <v>18</v>
      </c>
      <c r="F3" s="8">
        <f>_xlfn.XLOOKUP(F2&amp;"*",B3:B17,C3:C17,,2)</f>
        <v>8151.24812152702</v>
      </c>
    </row>
    <row r="4" spans="2:6" x14ac:dyDescent="0.3">
      <c r="B4" t="s">
        <v>2</v>
      </c>
      <c r="C4" s="9">
        <v>7755.4709019399825</v>
      </c>
    </row>
    <row r="5" spans="2:6" ht="16.2" x14ac:dyDescent="0.35">
      <c r="B5" t="s">
        <v>3</v>
      </c>
      <c r="C5" s="9">
        <v>2092.3283139276195</v>
      </c>
      <c r="E5" t="s">
        <v>40</v>
      </c>
    </row>
    <row r="6" spans="2:6" x14ac:dyDescent="0.3">
      <c r="B6" t="s">
        <v>4</v>
      </c>
      <c r="C6" s="9">
        <v>3380.1466125541278</v>
      </c>
      <c r="E6" t="s">
        <v>41</v>
      </c>
    </row>
    <row r="7" spans="2:6" x14ac:dyDescent="0.3">
      <c r="B7" t="s">
        <v>5</v>
      </c>
      <c r="C7" s="9">
        <v>6964.0561728480398</v>
      </c>
    </row>
    <row r="8" spans="2:6" x14ac:dyDescent="0.3">
      <c r="B8" t="s">
        <v>6</v>
      </c>
      <c r="C8" s="9">
        <v>5012.6200229350716</v>
      </c>
    </row>
    <row r="9" spans="2:6" x14ac:dyDescent="0.3">
      <c r="B9" t="s">
        <v>7</v>
      </c>
      <c r="C9" s="9">
        <v>6993.37653924595</v>
      </c>
    </row>
    <row r="10" spans="2:6" x14ac:dyDescent="0.3">
      <c r="B10" t="s">
        <v>8</v>
      </c>
      <c r="C10" s="9">
        <v>9916.1225399862142</v>
      </c>
    </row>
    <row r="11" spans="2:6" x14ac:dyDescent="0.3">
      <c r="B11" t="s">
        <v>9</v>
      </c>
      <c r="C11" s="9">
        <v>9982.7607672833492</v>
      </c>
    </row>
    <row r="12" spans="2:6" x14ac:dyDescent="0.3">
      <c r="B12" t="s">
        <v>10</v>
      </c>
      <c r="C12" s="9">
        <v>9110.2743930674405</v>
      </c>
    </row>
    <row r="13" spans="2:6" x14ac:dyDescent="0.3">
      <c r="B13" t="s">
        <v>11</v>
      </c>
      <c r="C13" s="9">
        <v>3222.9027070160741</v>
      </c>
    </row>
    <row r="14" spans="2:6" x14ac:dyDescent="0.3">
      <c r="B14" t="s">
        <v>12</v>
      </c>
      <c r="C14" s="9">
        <v>3435.2681701390152</v>
      </c>
    </row>
    <row r="15" spans="2:6" x14ac:dyDescent="0.3">
      <c r="B15" t="s">
        <v>13</v>
      </c>
      <c r="C15" s="9">
        <v>6016.4213975740586</v>
      </c>
    </row>
    <row r="16" spans="2:6" x14ac:dyDescent="0.3">
      <c r="B16" t="s">
        <v>14</v>
      </c>
      <c r="C16" s="9">
        <v>1734.5840260811419</v>
      </c>
    </row>
    <row r="17" spans="2:3" x14ac:dyDescent="0.3">
      <c r="B17" t="s">
        <v>15</v>
      </c>
      <c r="C17" s="9">
        <v>4726.9219681522554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024B-F392-9C4A-B864-3D8339B6B636}">
  <dimension ref="B1:I17"/>
  <sheetViews>
    <sheetView topLeftCell="C2" zoomScale="97" zoomScaleNormal="140" workbookViewId="0">
      <selection activeCell="I11" sqref="I11"/>
    </sheetView>
  </sheetViews>
  <sheetFormatPr defaultColWidth="11.19921875" defaultRowHeight="15.6" x14ac:dyDescent="0.3"/>
  <cols>
    <col min="1" max="1" width="3.5" customWidth="1"/>
    <col min="2" max="2" width="15.69921875" bestFit="1" customWidth="1"/>
    <col min="3" max="6" width="9.5" style="7" customWidth="1"/>
    <col min="7" max="7" width="7.5" customWidth="1"/>
    <col min="9" max="9" width="12" customWidth="1"/>
  </cols>
  <sheetData>
    <row r="1" spans="2:9" ht="7.95" customHeight="1" x14ac:dyDescent="0.3"/>
    <row r="2" spans="2:9" s="1" customFormat="1" x14ac:dyDescent="0.3">
      <c r="B2" s="2" t="s">
        <v>0</v>
      </c>
      <c r="C2" s="6" t="s">
        <v>20</v>
      </c>
      <c r="D2" s="6" t="s">
        <v>21</v>
      </c>
      <c r="E2" s="6" t="s">
        <v>22</v>
      </c>
      <c r="F2" s="6" t="s">
        <v>23</v>
      </c>
      <c r="H2" s="4" t="s">
        <v>17</v>
      </c>
      <c r="I2" s="5" t="s">
        <v>3</v>
      </c>
    </row>
    <row r="3" spans="2:9" x14ac:dyDescent="0.3">
      <c r="B3" t="s">
        <v>1</v>
      </c>
      <c r="C3" s="9">
        <v>8151.24812152702</v>
      </c>
      <c r="D3" s="9">
        <v>1216.6072035870845</v>
      </c>
      <c r="E3" s="9">
        <v>3232.9894725803101</v>
      </c>
      <c r="F3" s="9">
        <v>5380.8634254774952</v>
      </c>
      <c r="H3" s="4" t="s">
        <v>24</v>
      </c>
      <c r="I3" s="5" t="s">
        <v>23</v>
      </c>
    </row>
    <row r="4" spans="2:9" x14ac:dyDescent="0.3">
      <c r="B4" t="s">
        <v>2</v>
      </c>
      <c r="C4" s="9">
        <v>7755.4709019399825</v>
      </c>
      <c r="D4" s="9">
        <v>2384.7294473981196</v>
      </c>
      <c r="E4" s="9">
        <v>4805.3778620719804</v>
      </c>
      <c r="F4" s="9">
        <v>6333.7341275748604</v>
      </c>
      <c r="H4" s="4" t="s">
        <v>18</v>
      </c>
      <c r="I4" s="8" cm="1">
        <f t="array" ref="I4">_xlfn.XLOOKUP(I2,B3:B17,_xlfn.XLOOKUP(I3,C2:F2,C3:F17))</f>
        <v>724.3282139385077</v>
      </c>
    </row>
    <row r="5" spans="2:9" x14ac:dyDescent="0.3">
      <c r="B5" t="s">
        <v>3</v>
      </c>
      <c r="C5" s="9">
        <v>2092.3283139276195</v>
      </c>
      <c r="D5" s="9">
        <v>7391.9017104370232</v>
      </c>
      <c r="E5" s="9">
        <v>1297.9565400229365</v>
      </c>
      <c r="F5" s="9">
        <v>724.3282139385077</v>
      </c>
    </row>
    <row r="6" spans="2:9" x14ac:dyDescent="0.3">
      <c r="B6" t="s">
        <v>4</v>
      </c>
      <c r="C6" s="9">
        <v>3380.1466125541278</v>
      </c>
      <c r="D6" s="9">
        <v>2741.0723461438702</v>
      </c>
      <c r="E6" s="9">
        <v>9401.240773345764</v>
      </c>
      <c r="F6" s="9">
        <v>7294.3161773734246</v>
      </c>
      <c r="H6" t="s">
        <v>42</v>
      </c>
    </row>
    <row r="7" spans="2:9" x14ac:dyDescent="0.3">
      <c r="B7" t="s">
        <v>5</v>
      </c>
      <c r="C7" s="9">
        <v>6964.0561728480398</v>
      </c>
      <c r="D7" s="9">
        <v>5353.707416439911</v>
      </c>
      <c r="E7" s="9">
        <v>9221.9693332982861</v>
      </c>
      <c r="F7" s="9">
        <v>289.48880144307634</v>
      </c>
    </row>
    <row r="8" spans="2:9" x14ac:dyDescent="0.3">
      <c r="B8" t="s">
        <v>6</v>
      </c>
      <c r="C8" s="9">
        <v>5012.6200229350716</v>
      </c>
      <c r="D8" s="9">
        <v>3079.3355004363152</v>
      </c>
      <c r="E8" s="9">
        <v>8185.3064399079985</v>
      </c>
      <c r="F8" s="9">
        <v>8223.9815426312798</v>
      </c>
    </row>
    <row r="9" spans="2:9" x14ac:dyDescent="0.3">
      <c r="B9" t="s">
        <v>7</v>
      </c>
      <c r="C9" s="9">
        <v>6993.37653924595</v>
      </c>
      <c r="D9" s="9">
        <v>5686.8171505752525</v>
      </c>
      <c r="E9" s="9">
        <v>4128.5136777492053</v>
      </c>
      <c r="F9" s="9">
        <v>7291.779390855012</v>
      </c>
    </row>
    <row r="10" spans="2:9" x14ac:dyDescent="0.3">
      <c r="B10" t="s">
        <v>8</v>
      </c>
      <c r="C10" s="9">
        <v>9916.1225399862142</v>
      </c>
      <c r="D10" s="9">
        <v>9333.0756394258642</v>
      </c>
      <c r="E10" s="9">
        <v>7049.8906377318808</v>
      </c>
      <c r="F10" s="9">
        <v>4977.9417754671913</v>
      </c>
    </row>
    <row r="11" spans="2:9" x14ac:dyDescent="0.3">
      <c r="B11" t="s">
        <v>9</v>
      </c>
      <c r="C11" s="9">
        <v>9982.7607672833492</v>
      </c>
      <c r="D11" s="9">
        <v>8909.8190657786599</v>
      </c>
      <c r="E11" s="9">
        <v>7605.8241325880426</v>
      </c>
      <c r="F11" s="9">
        <v>6120.0647296657771</v>
      </c>
    </row>
    <row r="12" spans="2:9" x14ac:dyDescent="0.3">
      <c r="B12" t="s">
        <v>10</v>
      </c>
      <c r="C12" s="9">
        <v>9110.2743930674405</v>
      </c>
      <c r="D12" s="9">
        <v>9868.2307560574609</v>
      </c>
      <c r="E12" s="9">
        <v>9236.3452516168691</v>
      </c>
      <c r="F12" s="9">
        <v>1328.2772405269661</v>
      </c>
    </row>
    <row r="13" spans="2:9" x14ac:dyDescent="0.3">
      <c r="B13" t="s">
        <v>11</v>
      </c>
      <c r="C13" s="9">
        <v>3222.9027070160741</v>
      </c>
      <c r="D13" s="9">
        <v>9582.9475714898672</v>
      </c>
      <c r="E13" s="9">
        <v>7866.7235603216905</v>
      </c>
      <c r="F13" s="9">
        <v>9731.3946654753363</v>
      </c>
    </row>
    <row r="14" spans="2:9" x14ac:dyDescent="0.3">
      <c r="B14" t="s">
        <v>12</v>
      </c>
      <c r="C14" s="9">
        <v>3435.2681701390152</v>
      </c>
      <c r="D14" s="9">
        <v>3609.4416521855164</v>
      </c>
      <c r="E14" s="9">
        <v>1145.8116680593378</v>
      </c>
      <c r="F14" s="9">
        <v>8727.8209641810063</v>
      </c>
    </row>
    <row r="15" spans="2:9" x14ac:dyDescent="0.3">
      <c r="B15" t="s">
        <v>13</v>
      </c>
      <c r="C15" s="9">
        <v>6016.4213975740586</v>
      </c>
      <c r="D15" s="9">
        <v>836.68295826708766</v>
      </c>
      <c r="E15" s="9">
        <v>4937.7752811356768</v>
      </c>
      <c r="F15" s="9">
        <v>4262.4870958279216</v>
      </c>
    </row>
    <row r="16" spans="2:9" x14ac:dyDescent="0.3">
      <c r="B16" t="s">
        <v>14</v>
      </c>
      <c r="C16" s="9">
        <v>1734.5840260811419</v>
      </c>
      <c r="D16" s="9">
        <v>9137.3220289000819</v>
      </c>
      <c r="E16" s="9">
        <v>4203.7648770856304</v>
      </c>
      <c r="F16" s="9">
        <v>8395.1671654812762</v>
      </c>
    </row>
    <row r="17" spans="2:6" x14ac:dyDescent="0.3">
      <c r="B17" t="s">
        <v>15</v>
      </c>
      <c r="C17" s="9">
        <v>4726.9219681522554</v>
      </c>
      <c r="D17" s="9">
        <v>4637.0943877827849</v>
      </c>
      <c r="E17" s="9">
        <v>5662.3454488109019</v>
      </c>
      <c r="F17" s="9">
        <v>8487.4514250723241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7837-78A9-5949-BC8C-66A2472DC973}">
  <dimension ref="B1:G17"/>
  <sheetViews>
    <sheetView zoomScale="125" zoomScaleNormal="140" workbookViewId="0">
      <selection activeCell="F8" sqref="F8"/>
    </sheetView>
  </sheetViews>
  <sheetFormatPr defaultColWidth="10.796875" defaultRowHeight="15.6" x14ac:dyDescent="0.3"/>
  <cols>
    <col min="1" max="1" width="3.5" customWidth="1"/>
    <col min="2" max="2" width="15.69921875" bestFit="1" customWidth="1"/>
    <col min="3" max="3" width="9.19921875" customWidth="1"/>
    <col min="4" max="4" width="11.19921875" bestFit="1" customWidth="1"/>
    <col min="5" max="6" width="7.796875" customWidth="1"/>
  </cols>
  <sheetData>
    <row r="1" spans="2:7" ht="7.95" customHeight="1" x14ac:dyDescent="0.3"/>
    <row r="2" spans="2:7" s="1" customFormat="1" x14ac:dyDescent="0.3">
      <c r="B2" s="2" t="s">
        <v>0</v>
      </c>
      <c r="C2" s="3" t="s">
        <v>16</v>
      </c>
      <c r="D2" s="3" t="s">
        <v>39</v>
      </c>
      <c r="F2" s="13" t="s">
        <v>16</v>
      </c>
      <c r="G2" s="13" t="s">
        <v>39</v>
      </c>
    </row>
    <row r="3" spans="2:7" x14ac:dyDescent="0.3">
      <c r="B3" t="s">
        <v>1</v>
      </c>
      <c r="C3" s="10">
        <v>8151.24812152702</v>
      </c>
      <c r="D3" s="11">
        <f>_xlfn.XLOOKUP(C3,$F$3:$F$6,$G$3:$G$6,,-1)</f>
        <v>0.2</v>
      </c>
      <c r="F3" s="10">
        <v>0</v>
      </c>
      <c r="G3" s="14">
        <v>0</v>
      </c>
    </row>
    <row r="4" spans="2:7" x14ac:dyDescent="0.3">
      <c r="B4" t="s">
        <v>2</v>
      </c>
      <c r="C4" s="10">
        <v>7755.4709019399825</v>
      </c>
      <c r="D4" s="11">
        <f t="shared" ref="D4:D17" si="0">_xlfn.XLOOKUP(C4,$F$3:$F$6,$G$3:$G$6,,-1)</f>
        <v>0.15</v>
      </c>
      <c r="F4" s="10">
        <v>1000</v>
      </c>
      <c r="G4" s="14">
        <v>0.1</v>
      </c>
    </row>
    <row r="5" spans="2:7" x14ac:dyDescent="0.3">
      <c r="B5" t="s">
        <v>3</v>
      </c>
      <c r="C5" s="10">
        <v>2092.3283139276195</v>
      </c>
      <c r="D5" s="11">
        <f t="shared" si="0"/>
        <v>0.1</v>
      </c>
      <c r="F5" s="10">
        <v>4000</v>
      </c>
      <c r="G5" s="14">
        <v>0.15</v>
      </c>
    </row>
    <row r="6" spans="2:7" x14ac:dyDescent="0.3">
      <c r="B6" t="s">
        <v>4</v>
      </c>
      <c r="C6" s="10">
        <v>3380.1466125541278</v>
      </c>
      <c r="D6" s="11">
        <f t="shared" si="0"/>
        <v>0.1</v>
      </c>
      <c r="F6" s="10">
        <v>8000</v>
      </c>
      <c r="G6" s="14">
        <v>0.2</v>
      </c>
    </row>
    <row r="7" spans="2:7" x14ac:dyDescent="0.3">
      <c r="B7" t="s">
        <v>5</v>
      </c>
      <c r="C7" s="10">
        <v>6964.0561728480398</v>
      </c>
      <c r="D7" s="11">
        <f t="shared" si="0"/>
        <v>0.15</v>
      </c>
    </row>
    <row r="8" spans="2:7" x14ac:dyDescent="0.3">
      <c r="B8" t="s">
        <v>6</v>
      </c>
      <c r="C8" s="10">
        <v>5012.6200229350716</v>
      </c>
      <c r="D8" s="11">
        <f t="shared" si="0"/>
        <v>0.15</v>
      </c>
      <c r="F8" t="s">
        <v>43</v>
      </c>
    </row>
    <row r="9" spans="2:7" x14ac:dyDescent="0.3">
      <c r="B9" t="s">
        <v>7</v>
      </c>
      <c r="C9" s="10">
        <v>6993.37653924595</v>
      </c>
      <c r="D9" s="11">
        <f t="shared" si="0"/>
        <v>0.15</v>
      </c>
    </row>
    <row r="10" spans="2:7" x14ac:dyDescent="0.3">
      <c r="B10" t="s">
        <v>8</v>
      </c>
      <c r="C10" s="10">
        <v>9916.1225399862142</v>
      </c>
      <c r="D10" s="11">
        <f t="shared" si="0"/>
        <v>0.2</v>
      </c>
    </row>
    <row r="11" spans="2:7" x14ac:dyDescent="0.3">
      <c r="B11" t="s">
        <v>9</v>
      </c>
      <c r="C11" s="10">
        <v>9982.7607672833492</v>
      </c>
      <c r="D11" s="11">
        <f t="shared" si="0"/>
        <v>0.2</v>
      </c>
    </row>
    <row r="12" spans="2:7" x14ac:dyDescent="0.3">
      <c r="B12" t="s">
        <v>10</v>
      </c>
      <c r="C12" s="10">
        <v>9110.2743930674405</v>
      </c>
      <c r="D12" s="11">
        <f t="shared" si="0"/>
        <v>0.2</v>
      </c>
    </row>
    <row r="13" spans="2:7" x14ac:dyDescent="0.3">
      <c r="B13" t="s">
        <v>11</v>
      </c>
      <c r="C13" s="10">
        <v>3222.9027070160741</v>
      </c>
      <c r="D13" s="11">
        <f t="shared" si="0"/>
        <v>0.1</v>
      </c>
    </row>
    <row r="14" spans="2:7" x14ac:dyDescent="0.3">
      <c r="B14" t="s">
        <v>12</v>
      </c>
      <c r="C14" s="10">
        <v>3435.2681701390152</v>
      </c>
      <c r="D14" s="11">
        <f t="shared" si="0"/>
        <v>0.1</v>
      </c>
    </row>
    <row r="15" spans="2:7" x14ac:dyDescent="0.3">
      <c r="B15" t="s">
        <v>13</v>
      </c>
      <c r="C15" s="10">
        <v>6016.4213975740586</v>
      </c>
      <c r="D15" s="11">
        <f t="shared" si="0"/>
        <v>0.15</v>
      </c>
    </row>
    <row r="16" spans="2:7" x14ac:dyDescent="0.3">
      <c r="B16" t="s">
        <v>14</v>
      </c>
      <c r="C16" s="10">
        <v>1734.5840260811419</v>
      </c>
      <c r="D16" s="11">
        <f t="shared" si="0"/>
        <v>0.1</v>
      </c>
    </row>
    <row r="17" spans="2:4" x14ac:dyDescent="0.3">
      <c r="B17" t="s">
        <v>15</v>
      </c>
      <c r="C17" s="10">
        <v>4726.9219681522554</v>
      </c>
      <c r="D17" s="11">
        <f t="shared" si="0"/>
        <v>0.15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F3D6-86BB-6145-B35C-B6FC5FB957EB}">
  <dimension ref="B1:K18"/>
  <sheetViews>
    <sheetView tabSelected="1" zoomScale="74" zoomScaleNormal="140" workbookViewId="0">
      <selection activeCell="I6" sqref="I6"/>
    </sheetView>
  </sheetViews>
  <sheetFormatPr defaultColWidth="10.796875" defaultRowHeight="15.6" x14ac:dyDescent="0.3"/>
  <cols>
    <col min="1" max="1" width="3.5" customWidth="1"/>
    <col min="2" max="2" width="15" customWidth="1"/>
    <col min="3" max="4" width="9.19921875" customWidth="1"/>
    <col min="5" max="5" width="10.796875" customWidth="1"/>
    <col min="6" max="6" width="8.5" customWidth="1"/>
    <col min="7" max="7" width="5.69921875" customWidth="1"/>
    <col min="8" max="8" width="15.19921875" bestFit="1" customWidth="1"/>
    <col min="9" max="9" width="8.296875" customWidth="1"/>
    <col min="11" max="11" width="8.796875" customWidth="1"/>
  </cols>
  <sheetData>
    <row r="1" spans="2:11" ht="7.95" customHeight="1" x14ac:dyDescent="0.3"/>
    <row r="2" spans="2:11" s="1" customFormat="1" x14ac:dyDescent="0.3">
      <c r="B2" s="2" t="s">
        <v>0</v>
      </c>
      <c r="C2" s="3" t="s">
        <v>16</v>
      </c>
      <c r="D2" s="3" t="s">
        <v>26</v>
      </c>
      <c r="E2" s="3" t="s">
        <v>25</v>
      </c>
      <c r="F2" s="3" t="s">
        <v>27</v>
      </c>
      <c r="H2" s="13" t="s">
        <v>0</v>
      </c>
      <c r="I2" s="13" t="s">
        <v>26</v>
      </c>
      <c r="J2" s="13" t="s">
        <v>25</v>
      </c>
      <c r="K2" s="13" t="s">
        <v>27</v>
      </c>
    </row>
    <row r="3" spans="2:11" x14ac:dyDescent="0.3">
      <c r="B3" t="s">
        <v>1</v>
      </c>
      <c r="C3" s="10">
        <v>8151.24812152702</v>
      </c>
      <c r="D3" s="10">
        <v>2852.9368425344569</v>
      </c>
      <c r="E3" s="10">
        <v>10</v>
      </c>
      <c r="F3" s="10" t="s">
        <v>28</v>
      </c>
      <c r="H3" t="s">
        <v>9</v>
      </c>
      <c r="I3" s="10" cm="1">
        <f t="array" ref="I3:K3">_xlfn.XLOOKUP(H3,$B$3:$B$17,$D$3:$F$17)</f>
        <v>3493.9662685491721</v>
      </c>
      <c r="J3" s="10">
        <v>32</v>
      </c>
      <c r="K3" s="5" t="str">
        <v>5 Star</v>
      </c>
    </row>
    <row r="4" spans="2:11" x14ac:dyDescent="0.3">
      <c r="B4" t="s">
        <v>2</v>
      </c>
      <c r="C4" s="10">
        <v>7755.4709019399825</v>
      </c>
      <c r="D4" s="10">
        <v>2714.4148156789938</v>
      </c>
      <c r="E4" s="10">
        <v>52</v>
      </c>
      <c r="F4" s="10" t="s">
        <v>29</v>
      </c>
      <c r="H4" t="s">
        <v>6</v>
      </c>
      <c r="I4" s="10" cm="1">
        <f t="array" ref="I4:K4">_xlfn.XLOOKUP(H4,$B$3:$B$17,$D$3:$F$17)</f>
        <v>1754.417008027275</v>
      </c>
      <c r="J4" s="10">
        <v>49</v>
      </c>
      <c r="K4" s="5" t="str">
        <v>5 Star</v>
      </c>
    </row>
    <row r="5" spans="2:11" x14ac:dyDescent="0.3">
      <c r="B5" t="s">
        <v>3</v>
      </c>
      <c r="C5" s="10">
        <v>2092.3283139276195</v>
      </c>
      <c r="D5" s="10">
        <v>732.3149098746668</v>
      </c>
      <c r="E5" s="10">
        <v>35</v>
      </c>
      <c r="F5" s="10" t="s">
        <v>30</v>
      </c>
      <c r="H5" t="s">
        <v>15</v>
      </c>
      <c r="I5" s="10" cm="1">
        <f t="array" ref="I5:K5">_xlfn.XLOOKUP(H5,$B$3:$B$17,$D$3:$F$17)</f>
        <v>1654.4226888532894</v>
      </c>
      <c r="J5" s="10">
        <v>22</v>
      </c>
      <c r="K5" s="5" t="str">
        <v>4 Star</v>
      </c>
    </row>
    <row r="6" spans="2:11" x14ac:dyDescent="0.3">
      <c r="B6" t="s">
        <v>4</v>
      </c>
      <c r="C6" s="10">
        <v>3380.1466125541278</v>
      </c>
      <c r="D6" s="10">
        <v>1183.0513143939447</v>
      </c>
      <c r="E6" s="10">
        <v>14</v>
      </c>
      <c r="F6" s="10" t="s">
        <v>28</v>
      </c>
      <c r="H6" t="s">
        <v>14</v>
      </c>
      <c r="I6" s="10" cm="1">
        <f t="array" ref="I6:K6">_xlfn.XLOOKUP(H6,$B$3:$B$17,$D$3:$F$17)</f>
        <v>607.10440912839965</v>
      </c>
      <c r="J6" s="10">
        <v>43</v>
      </c>
      <c r="K6" s="5" t="str">
        <v>3 Star</v>
      </c>
    </row>
    <row r="7" spans="2:11" x14ac:dyDescent="0.3">
      <c r="B7" t="s">
        <v>5</v>
      </c>
      <c r="C7" s="10">
        <v>6964.0561728480398</v>
      </c>
      <c r="D7" s="10">
        <v>2437.4196604968138</v>
      </c>
      <c r="E7" s="10">
        <v>39</v>
      </c>
      <c r="F7" s="10" t="s">
        <v>31</v>
      </c>
    </row>
    <row r="8" spans="2:11" x14ac:dyDescent="0.3">
      <c r="B8" t="s">
        <v>6</v>
      </c>
      <c r="C8" s="10">
        <v>5012.6200229350716</v>
      </c>
      <c r="D8" s="10">
        <v>1754.417008027275</v>
      </c>
      <c r="E8" s="10">
        <v>49</v>
      </c>
      <c r="F8" s="10" t="s">
        <v>28</v>
      </c>
    </row>
    <row r="9" spans="2:11" x14ac:dyDescent="0.3">
      <c r="B9" t="s">
        <v>7</v>
      </c>
      <c r="C9" s="10">
        <v>6993.37653924595</v>
      </c>
      <c r="D9" s="10">
        <v>2447.6817887360821</v>
      </c>
      <c r="E9" s="10">
        <v>99</v>
      </c>
      <c r="F9" s="10" t="s">
        <v>28</v>
      </c>
    </row>
    <row r="10" spans="2:11" x14ac:dyDescent="0.3">
      <c r="B10" t="s">
        <v>8</v>
      </c>
      <c r="C10" s="10">
        <v>9916.1225399862142</v>
      </c>
      <c r="D10" s="10">
        <v>3470.6428889951749</v>
      </c>
      <c r="E10" s="10">
        <v>45</v>
      </c>
      <c r="F10" s="10" t="s">
        <v>32</v>
      </c>
    </row>
    <row r="11" spans="2:11" x14ac:dyDescent="0.3">
      <c r="B11" t="s">
        <v>9</v>
      </c>
      <c r="C11" s="10">
        <v>9982.7607672833492</v>
      </c>
      <c r="D11" s="10">
        <v>3493.9662685491721</v>
      </c>
      <c r="E11" s="10">
        <v>32</v>
      </c>
      <c r="F11" s="10" t="s">
        <v>28</v>
      </c>
    </row>
    <row r="12" spans="2:11" x14ac:dyDescent="0.3">
      <c r="B12" t="s">
        <v>10</v>
      </c>
      <c r="C12" s="10">
        <v>9110.2743930674405</v>
      </c>
      <c r="D12" s="10">
        <v>3188.596037573604</v>
      </c>
      <c r="E12" s="10">
        <v>44</v>
      </c>
      <c r="F12" s="10" t="s">
        <v>31</v>
      </c>
    </row>
    <row r="13" spans="2:11" x14ac:dyDescent="0.3">
      <c r="B13" t="s">
        <v>11</v>
      </c>
      <c r="C13" s="10">
        <v>3222.9027070160741</v>
      </c>
      <c r="D13" s="10">
        <v>1128.0159474556258</v>
      </c>
      <c r="E13" s="10">
        <v>50</v>
      </c>
      <c r="F13" s="10" t="s">
        <v>29</v>
      </c>
    </row>
    <row r="14" spans="2:11" x14ac:dyDescent="0.3">
      <c r="B14" t="s">
        <v>12</v>
      </c>
      <c r="C14" s="10">
        <v>3435.2681701390152</v>
      </c>
      <c r="D14" s="10">
        <v>1202.3438595486552</v>
      </c>
      <c r="E14" s="10">
        <v>8</v>
      </c>
      <c r="F14" s="10" t="s">
        <v>32</v>
      </c>
    </row>
    <row r="15" spans="2:11" x14ac:dyDescent="0.3">
      <c r="B15" t="s">
        <v>13</v>
      </c>
      <c r="C15" s="10">
        <v>6016.4213975740586</v>
      </c>
      <c r="D15" s="10">
        <v>2105.7474891509205</v>
      </c>
      <c r="E15" s="10">
        <v>21</v>
      </c>
      <c r="F15" s="10" t="s">
        <v>32</v>
      </c>
    </row>
    <row r="16" spans="2:11" x14ac:dyDescent="0.3">
      <c r="B16" t="s">
        <v>14</v>
      </c>
      <c r="C16" s="10">
        <v>1734.5840260811419</v>
      </c>
      <c r="D16" s="10">
        <v>607.10440912839965</v>
      </c>
      <c r="E16" s="10">
        <v>43</v>
      </c>
      <c r="F16" s="10" t="s">
        <v>29</v>
      </c>
    </row>
    <row r="17" spans="2:6" x14ac:dyDescent="0.3">
      <c r="B17" t="s">
        <v>15</v>
      </c>
      <c r="C17" s="10">
        <v>4726.9219681522554</v>
      </c>
      <c r="D17" s="10">
        <v>1654.4226888532894</v>
      </c>
      <c r="E17" s="10">
        <v>22</v>
      </c>
      <c r="F17" s="10" t="s">
        <v>32</v>
      </c>
    </row>
    <row r="18" spans="2:6" x14ac:dyDescent="0.3">
      <c r="E18" s="12"/>
      <c r="F1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D6F8-A14C-9842-8010-BE59842E7BAE}">
  <dimension ref="B1:G18"/>
  <sheetViews>
    <sheetView zoomScale="140" zoomScaleNormal="140" workbookViewId="0">
      <selection activeCell="G3" sqref="G3:G5"/>
    </sheetView>
  </sheetViews>
  <sheetFormatPr defaultColWidth="10.796875" defaultRowHeight="15.6" x14ac:dyDescent="0.3"/>
  <cols>
    <col min="1" max="1" width="3.5" customWidth="1"/>
    <col min="2" max="2" width="9.69921875" customWidth="1"/>
    <col min="3" max="4" width="9.19921875" customWidth="1"/>
    <col min="5" max="5" width="7" customWidth="1"/>
    <col min="6" max="6" width="7.796875" customWidth="1"/>
    <col min="7" max="7" width="7.69921875" customWidth="1"/>
  </cols>
  <sheetData>
    <row r="1" spans="2:7" ht="7.95" customHeight="1" x14ac:dyDescent="0.3"/>
    <row r="2" spans="2:7" s="1" customFormat="1" x14ac:dyDescent="0.3">
      <c r="B2" s="2" t="s">
        <v>38</v>
      </c>
      <c r="C2" s="3" t="s">
        <v>16</v>
      </c>
      <c r="D2" s="3" t="s">
        <v>26</v>
      </c>
      <c r="F2" s="16" t="s">
        <v>38</v>
      </c>
      <c r="G2" s="13" t="s">
        <v>26</v>
      </c>
    </row>
    <row r="3" spans="2:7" x14ac:dyDescent="0.3">
      <c r="B3" s="15" t="s">
        <v>33</v>
      </c>
      <c r="C3" s="10">
        <v>8151.24812152702</v>
      </c>
      <c r="D3" s="10">
        <v>2852.9368425344569</v>
      </c>
      <c r="F3" s="15" t="s">
        <v>33</v>
      </c>
      <c r="G3" s="10">
        <f>SUMIF(B3:B18,F3,D3:D18)</f>
        <v>6299.6665680881179</v>
      </c>
    </row>
    <row r="4" spans="2:7" x14ac:dyDescent="0.3">
      <c r="B4" s="15" t="s">
        <v>33</v>
      </c>
      <c r="C4" s="10">
        <v>7755.4709019399825</v>
      </c>
      <c r="D4" s="10">
        <v>2714.4148156789938</v>
      </c>
      <c r="F4" s="15" t="s">
        <v>34</v>
      </c>
      <c r="G4" s="10">
        <f t="shared" ref="G4:G5" si="0">SUMIF(B4:B19,F4,D4:D19)</f>
        <v>5374.8879829180332</v>
      </c>
    </row>
    <row r="5" spans="2:7" x14ac:dyDescent="0.3">
      <c r="B5" s="15" t="s">
        <v>33</v>
      </c>
      <c r="C5" s="10">
        <v>2092.3283139276195</v>
      </c>
      <c r="D5" s="10">
        <v>732.3149098746668</v>
      </c>
      <c r="F5" s="15" t="s">
        <v>35</v>
      </c>
      <c r="G5" s="10">
        <f t="shared" si="0"/>
        <v>9412.2909462804291</v>
      </c>
    </row>
    <row r="6" spans="2:7" x14ac:dyDescent="0.3">
      <c r="B6" s="15" t="s">
        <v>34</v>
      </c>
      <c r="C6" s="10">
        <v>3380.1466125541278</v>
      </c>
      <c r="D6" s="10">
        <v>1183.0513143939447</v>
      </c>
      <c r="G6" s="10"/>
    </row>
    <row r="7" spans="2:7" x14ac:dyDescent="0.3">
      <c r="B7" s="15" t="s">
        <v>34</v>
      </c>
      <c r="C7" s="10">
        <v>6964.0561728480398</v>
      </c>
      <c r="D7" s="10">
        <v>2437.4196604968138</v>
      </c>
    </row>
    <row r="8" spans="2:7" x14ac:dyDescent="0.3">
      <c r="B8" s="15" t="s">
        <v>34</v>
      </c>
      <c r="C8" s="10">
        <v>5012.6200229350716</v>
      </c>
      <c r="D8" s="10">
        <v>1754.417008027275</v>
      </c>
    </row>
    <row r="9" spans="2:7" x14ac:dyDescent="0.3">
      <c r="B9" s="15" t="s">
        <v>35</v>
      </c>
      <c r="C9" s="10">
        <v>6993.37653924595</v>
      </c>
      <c r="D9" s="10">
        <v>2447.6817887360821</v>
      </c>
    </row>
    <row r="10" spans="2:7" x14ac:dyDescent="0.3">
      <c r="B10" s="15" t="s">
        <v>35</v>
      </c>
      <c r="C10" s="10">
        <v>9916.1225399862142</v>
      </c>
      <c r="D10" s="10">
        <v>3470.6428889951749</v>
      </c>
    </row>
    <row r="11" spans="2:7" x14ac:dyDescent="0.3">
      <c r="B11" s="15" t="s">
        <v>35</v>
      </c>
      <c r="C11" s="10">
        <v>9982.7607672833492</v>
      </c>
      <c r="D11" s="10">
        <v>3493.9662685491721</v>
      </c>
    </row>
    <row r="12" spans="2:7" x14ac:dyDescent="0.3">
      <c r="B12" s="15" t="s">
        <v>36</v>
      </c>
      <c r="C12" s="10">
        <v>9110.2743930674405</v>
      </c>
      <c r="D12" s="10">
        <v>3188.596037573604</v>
      </c>
    </row>
    <row r="13" spans="2:7" x14ac:dyDescent="0.3">
      <c r="B13" s="15" t="s">
        <v>36</v>
      </c>
      <c r="C13" s="10">
        <v>3222.9027070160741</v>
      </c>
      <c r="D13" s="10">
        <v>1128.0159474556258</v>
      </c>
    </row>
    <row r="14" spans="2:7" x14ac:dyDescent="0.3">
      <c r="B14" s="15" t="s">
        <v>36</v>
      </c>
      <c r="C14" s="10">
        <v>3435.2681701390152</v>
      </c>
      <c r="D14" s="10">
        <v>1202.3438595486552</v>
      </c>
    </row>
    <row r="15" spans="2:7" x14ac:dyDescent="0.3">
      <c r="B15" s="15" t="s">
        <v>37</v>
      </c>
      <c r="C15" s="10">
        <v>6016.4213975740586</v>
      </c>
      <c r="D15" s="10">
        <v>2105.7474891509205</v>
      </c>
    </row>
    <row r="16" spans="2:7" x14ac:dyDescent="0.3">
      <c r="B16" s="15" t="s">
        <v>37</v>
      </c>
      <c r="C16" s="10">
        <v>1734.5840260811419</v>
      </c>
      <c r="D16" s="10">
        <v>607.10440912839965</v>
      </c>
    </row>
    <row r="17" spans="2:4" x14ac:dyDescent="0.3">
      <c r="B17" s="15" t="s">
        <v>37</v>
      </c>
      <c r="C17" s="10">
        <v>4726.9219681522554</v>
      </c>
      <c r="D17" s="10">
        <v>1654.4226888532894</v>
      </c>
    </row>
    <row r="18" spans="2:4" x14ac:dyDescent="0.3">
      <c r="B18" s="15" t="s">
        <v>37</v>
      </c>
      <c r="C18" s="10">
        <v>3459</v>
      </c>
      <c r="D18" s="10">
        <v>1210.6499999999999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DC39D0-88D9-4F4E-85EF-977D71167E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60E9F0-347A-4AE9-A5E4-6D7A4A6FF7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Limitation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Seema Kumari</cp:lastModifiedBy>
  <dcterms:created xsi:type="dcterms:W3CDTF">2023-10-09T08:23:04Z</dcterms:created>
  <dcterms:modified xsi:type="dcterms:W3CDTF">2026-01-28T15:47:43Z</dcterms:modified>
</cp:coreProperties>
</file>