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42F2B806-8CBD-4C45-A7B1-29D41147F826}" xr6:coauthVersionLast="47" xr6:coauthVersionMax="47" xr10:uidLastSave="{00000000-0000-0000-0000-000000000000}"/>
  <bookViews>
    <workbookView xWindow="-108" yWindow="-108" windowWidth="23256" windowHeight="12456" xr2:uid="{73DE453E-7662-4C8F-91D4-64FB9DB66615}"/>
  </bookViews>
  <sheets>
    <sheet name="cell ref" sheetId="1" r:id="rId1"/>
    <sheet name="conditional formatting" sheetId="2" r:id="rId2"/>
    <sheet name="Math fun" sheetId="3" r:id="rId3"/>
    <sheet name="Text func" sheetId="4" r:id="rId4"/>
    <sheet name="dates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I11" i="6"/>
  <c r="I12" i="6"/>
  <c r="I13" i="6"/>
  <c r="H2" i="6"/>
  <c r="H3" i="6"/>
  <c r="H4" i="6"/>
  <c r="H5" i="6"/>
  <c r="H6" i="6"/>
  <c r="H7" i="6"/>
  <c r="H8" i="6"/>
  <c r="H9" i="6"/>
  <c r="H10" i="6"/>
  <c r="H11" i="6"/>
  <c r="H12" i="6"/>
  <c r="H13" i="6"/>
  <c r="G3" i="6"/>
  <c r="G4" i="6"/>
  <c r="G5" i="6"/>
  <c r="G6" i="6"/>
  <c r="G7" i="6"/>
  <c r="G8" i="6"/>
  <c r="G9" i="6"/>
  <c r="G10" i="6"/>
  <c r="G11" i="6"/>
  <c r="G12" i="6"/>
  <c r="G13" i="6"/>
  <c r="G2" i="6"/>
  <c r="A11" i="5"/>
  <c r="A10" i="5"/>
  <c r="A9" i="5"/>
  <c r="A8" i="5"/>
  <c r="B8" i="4"/>
  <c r="F2" i="4"/>
  <c r="F3" i="4"/>
  <c r="F4" i="4"/>
  <c r="F5" i="4"/>
  <c r="F6" i="4"/>
  <c r="E2" i="4"/>
  <c r="E3" i="4"/>
  <c r="E4" i="4"/>
  <c r="E5" i="4"/>
  <c r="E6" i="4"/>
  <c r="D2" i="4"/>
  <c r="D3" i="4"/>
  <c r="D4" i="4"/>
  <c r="D5" i="4"/>
  <c r="D6" i="4"/>
  <c r="A9" i="4"/>
  <c r="A8" i="4"/>
  <c r="C2" i="4"/>
  <c r="C3" i="4"/>
  <c r="C4" i="4"/>
  <c r="C5" i="4"/>
  <c r="C6" i="4"/>
  <c r="B13" i="3"/>
  <c r="B12" i="3"/>
  <c r="B11" i="3"/>
  <c r="B10" i="3"/>
  <c r="B9" i="3"/>
  <c r="B8" i="3"/>
  <c r="C11" i="1"/>
  <c r="D11" i="1"/>
  <c r="B11" i="1"/>
  <c r="D3" i="1"/>
  <c r="D4" i="1"/>
  <c r="D2" i="1"/>
  <c r="C3" i="1"/>
  <c r="C4" i="1"/>
  <c r="C5" i="1"/>
  <c r="C2" i="1"/>
</calcChain>
</file>

<file path=xl/sharedStrings.xml><?xml version="1.0" encoding="utf-8"?>
<sst xmlns="http://schemas.openxmlformats.org/spreadsheetml/2006/main" count="133" uniqueCount="62">
  <si>
    <t>Month</t>
  </si>
  <si>
    <t>Sales</t>
  </si>
  <si>
    <t>% of Total</t>
  </si>
  <si>
    <t>Jan</t>
  </si>
  <si>
    <t>Feb</t>
  </si>
  <si>
    <t>Mar</t>
  </si>
  <si>
    <t>Total</t>
  </si>
  <si>
    <t>relative refrence</t>
  </si>
  <si>
    <t>absolute ref</t>
  </si>
  <si>
    <t>Year</t>
  </si>
  <si>
    <t>Q1</t>
  </si>
  <si>
    <t>Q2</t>
  </si>
  <si>
    <t>Q3</t>
  </si>
  <si>
    <t>Growth %</t>
  </si>
  <si>
    <t>mixed cell ref</t>
  </si>
  <si>
    <t>Column1</t>
  </si>
  <si>
    <t>Employee ID</t>
  </si>
  <si>
    <t>Name</t>
  </si>
  <si>
    <t>Date</t>
  </si>
  <si>
    <t>Status</t>
  </si>
  <si>
    <t>E001</t>
  </si>
  <si>
    <t>Rahul</t>
  </si>
  <si>
    <t>Present</t>
  </si>
  <si>
    <t>E002</t>
  </si>
  <si>
    <t>Seema</t>
  </si>
  <si>
    <t>Absent</t>
  </si>
  <si>
    <t>E003</t>
  </si>
  <si>
    <t>Aman</t>
  </si>
  <si>
    <t>E004</t>
  </si>
  <si>
    <t>Neha</t>
  </si>
  <si>
    <t>Hours</t>
  </si>
  <si>
    <t>John</t>
  </si>
  <si>
    <t>total worked hrs</t>
  </si>
  <si>
    <t>avg worked hrs</t>
  </si>
  <si>
    <t>days attendance</t>
  </si>
  <si>
    <t>emp present days</t>
  </si>
  <si>
    <t>john present</t>
  </si>
  <si>
    <t>avg hrs to 1 dec</t>
  </si>
  <si>
    <t>john</t>
  </si>
  <si>
    <t>Sara</t>
  </si>
  <si>
    <t>RAVI</t>
  </si>
  <si>
    <t>ravi</t>
  </si>
  <si>
    <t>Employee Name</t>
  </si>
  <si>
    <t>Column2</t>
  </si>
  <si>
    <t>Column3</t>
  </si>
  <si>
    <t>Column4</t>
  </si>
  <si>
    <t>Cleaned raw employee data by removing extra spaces using TRIM</t>
  </si>
  <si>
    <t>Standardized text casing using PROPER, UPPER, and LOWER</t>
  </si>
  <si>
    <t>Combined employee name and attendance status using CONCAT</t>
  </si>
  <si>
    <t>Merged multiple text values into a single cell using TEXTJOIN</t>
  </si>
  <si>
    <t>Extracted specific parts of text using LEFT, MID, and RIGHT</t>
  </si>
  <si>
    <t>Measured text length using LEN for data validation</t>
  </si>
  <si>
    <t>Improved data readability and consistency for reporting and analysis</t>
  </si>
  <si>
    <t>Employee_ID</t>
  </si>
  <si>
    <t>Employee_Name</t>
  </si>
  <si>
    <t>Check_in_Time</t>
  </si>
  <si>
    <t>Check_out_Time</t>
  </si>
  <si>
    <t>Working_Hours</t>
  </si>
  <si>
    <t>Anita</t>
  </si>
  <si>
    <t>Vikram</t>
  </si>
  <si>
    <t>present days</t>
  </si>
  <si>
    <t>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</si>
</sst>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h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22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horizontal="center" vertical="center" wrapText="1"/>
    </xf>
    <xf numFmtId="171" fontId="0" fillId="0" borderId="0" xfId="0" applyNumberFormat="1" applyAlignment="1">
      <alignment vertical="center" wrapText="1"/>
    </xf>
    <xf numFmtId="171" fontId="0" fillId="0" borderId="0" xfId="0" applyNumberFormat="1"/>
    <xf numFmtId="2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57"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1" formatCode="[$-14009]hh:mm;@"/>
      <alignment horizontal="general" vertical="center" textRotation="0" wrapText="1" indent="0" justifyLastLine="0" shrinkToFit="0" readingOrder="0"/>
    </dxf>
    <dxf>
      <numFmt numFmtId="171" formatCode="[$-14009]hh:mm;@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A9568-03A9-42EC-BE23-C7BC75724FC1}" name="Table1" displayName="Table1" ref="A9:D11" totalsRowShown="0" headerRowDxfId="51" dataDxfId="52">
  <autoFilter ref="A9:D11" xr:uid="{635A9568-03A9-42EC-BE23-C7BC75724FC1}">
    <filterColumn colId="0" hiddenButton="1"/>
    <filterColumn colId="1" hiddenButton="1"/>
    <filterColumn colId="2" hiddenButton="1"/>
    <filterColumn colId="3" hiddenButton="1"/>
  </autoFilter>
  <tableColumns count="4">
    <tableColumn id="1" xr3:uid="{50186A11-7833-477E-9BB4-F30430C977FC}" name="Year" dataDxfId="56"/>
    <tableColumn id="2" xr3:uid="{03574701-1F84-4451-BE87-9E6D3D85FDAE}" name="Q1" dataDxfId="55"/>
    <tableColumn id="3" xr3:uid="{F31A6F37-CF66-4DBB-9065-939F83AB47EE}" name="Q2" dataDxfId="54"/>
    <tableColumn id="4" xr3:uid="{BC58BAF9-AA54-461C-8090-3D8327E5A8CC}" name="Q3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BAC295-AFEA-43C7-945C-0FBFFE0E7525}" name="Table2" displayName="Table2" ref="A1:D5" totalsRowShown="0" headerRowDxfId="46">
  <autoFilter ref="A1:D5" xr:uid="{ECBAC295-AFEA-43C7-945C-0FBFFE0E7525}"/>
  <tableColumns count="4">
    <tableColumn id="1" xr3:uid="{913BBAA0-111B-4C14-8D0B-D40B7E4FE235}" name="Month" dataDxfId="50"/>
    <tableColumn id="2" xr3:uid="{20B8CA66-341D-4C59-9AC7-89785AE8C74D}" name="Sales" dataDxfId="49"/>
    <tableColumn id="3" xr3:uid="{6CA15F83-7912-46A8-8F9F-E4C21F444978}" name="% of Total" dataDxfId="48" dataCellStyle="Percent">
      <calculatedColumnFormula>B2/B5</calculatedColumnFormula>
    </tableColumn>
    <tableColumn id="4" xr3:uid="{41D7152E-F8C1-49B5-A1C7-925B222932D1}" name="Column1" dataDxfId="47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B49E61-28CD-4D97-BD7F-EA83C25C96CA}" name="Table3" displayName="Table3" ref="A1:D5" totalsRowShown="0" headerRowDxfId="40" dataDxfId="41">
  <autoFilter ref="A1:D5" xr:uid="{22B49E61-28CD-4D97-BD7F-EA83C25C96CA}">
    <filterColumn colId="0" hiddenButton="1"/>
    <filterColumn colId="1" hiddenButton="1"/>
    <filterColumn colId="2" hiddenButton="1"/>
    <filterColumn colId="3" hiddenButton="1"/>
  </autoFilter>
  <tableColumns count="4">
    <tableColumn id="1" xr3:uid="{CCCA97B3-9A4E-48D3-AC3B-3A7031F8A203}" name="Employee ID" dataDxfId="45"/>
    <tableColumn id="2" xr3:uid="{FA23950E-8EA6-46B1-AB46-F7E4356C3AE1}" name="Name" dataDxfId="44"/>
    <tableColumn id="3" xr3:uid="{395FB77E-1503-426E-B14B-49D27CA5482F}" name="Date" dataDxfId="43"/>
    <tableColumn id="4" xr3:uid="{B6566749-26FD-4932-83C4-233C959FE66C}" name="Status" dataDxfId="4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12310C-3060-40EC-BF2D-1DC5C3BA4D23}" name="Table4" displayName="Table4" ref="A1:D6" totalsRowShown="0" headerRowDxfId="34" dataDxfId="35">
  <autoFilter ref="A1:D6" xr:uid="{FF12310C-3060-40EC-BF2D-1DC5C3BA4D23}">
    <filterColumn colId="0" hiddenButton="1"/>
    <filterColumn colId="1" hiddenButton="1"/>
    <filterColumn colId="2" hiddenButton="1"/>
    <filterColumn colId="3" hiddenButton="1"/>
  </autoFilter>
  <tableColumns count="4">
    <tableColumn id="1" xr3:uid="{2EB28FEB-0E82-4C87-8391-87DFCFAC21B0}" name="Name" dataDxfId="39"/>
    <tableColumn id="2" xr3:uid="{D45C73D6-2ADB-4536-903D-B652061E16EC}" name="Date" dataDxfId="38"/>
    <tableColumn id="3" xr3:uid="{98A0CDFC-1513-4490-ABF6-0C60DA9150BB}" name="Status" dataDxfId="37"/>
    <tableColumn id="4" xr3:uid="{D715AE2A-EA91-4601-A678-97154FD847F4}" name="Hours" dataDxfId="36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818566-46AD-4355-AE23-94B88046168D}" name="Table6" displayName="Table6" ref="A1:F6" totalsRowShown="0" headerRowDxfId="30" dataDxfId="31">
  <autoFilter ref="A1:F6" xr:uid="{EF818566-46AD-4355-AE23-94B8804616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CE464CA-B5AA-44F7-85D8-363CB2D360D3}" name="Employee Name" dataDxfId="33"/>
    <tableColumn id="2" xr3:uid="{D7EEADF0-5D2D-4E1E-AF45-E0B4D7F8C185}" name="Status" dataDxfId="32"/>
    <tableColumn id="3" xr3:uid="{261B94A2-57A7-44AE-ADA4-8EC9323CD439}" name="Column1" dataDxfId="29">
      <calculatedColumnFormula>_xlfn.CONCAT(Table6[[#This Row],[Employee Name]],"-",Table6[[#This Row],[Status]])</calculatedColumnFormula>
    </tableColumn>
    <tableColumn id="4" xr3:uid="{981B1D63-C0A2-4AF0-BF57-B1A1518CE958}" name="Column2" dataDxfId="28">
      <calculatedColumnFormula>PROPER(TRIM(A2))</calculatedColumnFormula>
    </tableColumn>
    <tableColumn id="5" xr3:uid="{25903D21-5359-400A-8E3A-C5F757310AF7}" name="Column3" dataDxfId="27">
      <calculatedColumnFormula>LEFT(PROPER(TRIM(A2)),3)</calculatedColumnFormula>
    </tableColumn>
    <tableColumn id="6" xr3:uid="{A839B745-4310-47D3-93CA-8A91EB0997F0}" name="Column4" dataDxfId="26">
      <calculatedColumnFormula>LEN(Table6[[#This Row],[Employee Name]])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C13E81-16AB-4CC6-B4C7-469D53CF645D}" name="Table7" displayName="Table7" ref="A1:C6" totalsRowShown="0" headerRowDxfId="22">
  <autoFilter ref="A1:C6" xr:uid="{00C13E81-16AB-4CC6-B4C7-469D53CF645D}">
    <filterColumn colId="0" hiddenButton="1"/>
    <filterColumn colId="1" hiddenButton="1"/>
    <filterColumn colId="2" hiddenButton="1"/>
  </autoFilter>
  <tableColumns count="3">
    <tableColumn id="1" xr3:uid="{258BDE98-36B5-42E6-9587-3406CBB0FDA7}" name="Name" dataDxfId="25"/>
    <tableColumn id="2" xr3:uid="{599FB644-5D69-4693-99C9-B1769D4784C7}" name="Date" dataDxfId="24"/>
    <tableColumn id="3" xr3:uid="{418F913F-C117-48AF-AADA-5CE731300238}" name="Status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B887D3-1B46-4FA2-991B-DA6AC51D5C7C}" name="Table8" displayName="Table8" ref="A1:I13" totalsRowShown="0" headerRowDxfId="21" dataDxfId="20">
  <autoFilter ref="A1:I13" xr:uid="{F2B887D3-1B46-4FA2-991B-DA6AC51D5C7C}"/>
  <tableColumns count="9">
    <tableColumn id="1" xr3:uid="{B355A168-0C87-461A-906E-6F9A26D93E90}" name="Employee_ID" dataDxfId="19"/>
    <tableColumn id="2" xr3:uid="{1CC6FB7D-A422-49A0-B60B-6715E5DAAD54}" name="Employee_Name" dataDxfId="18"/>
    <tableColumn id="3" xr3:uid="{91E20085-DA8E-43F4-86F6-E704200CA8EC}" name="Date" dataDxfId="17"/>
    <tableColumn id="4" xr3:uid="{08A50338-9C33-4614-A650-135E557B2581}" name="Check_in_Time" dataDxfId="16"/>
    <tableColumn id="5" xr3:uid="{B9C6EA6E-63A2-4229-86C7-113FC0BBCF8A}" name="Check_out_Time" dataDxfId="15"/>
    <tableColumn id="6" xr3:uid="{D07D6572-E7EE-4B9B-B04A-AD7D95CA6D06}" name="Status" dataDxfId="14"/>
    <tableColumn id="7" xr3:uid="{9D594DDD-DAE7-4F61-BF0F-E20A14A26D00}" name="Working_Hours" dataDxfId="13">
      <calculatedColumnFormula>IF(Table8[[#This Row],[Status]]="Present",(Table8[[#This Row],[Check_out_Time]]-Table8[[#This Row],[Check_in_Time]])*24,0)</calculatedColumnFormula>
    </tableColumn>
    <tableColumn id="8" xr3:uid="{C5C7FBCD-7148-4254-B51A-13AE4D0AAFFC}" name="present days" dataDxfId="12">
      <calculatedColumnFormula>COUNTIFS(B:B,"Rahul",F:F,"Present")</calculatedColumnFormula>
    </tableColumn>
    <tableColumn id="9" xr3:uid="{39FE5738-A008-453E-B70D-584E98CBA77E}" name="absent days" dataDxfId="11">
      <calculatedColumnFormula>COUNTIFS(B:B,"Rahul",F:F,"Absent")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DA84-EFB2-4D33-BD58-59B3E252D0D0}">
  <dimension ref="A1:D11"/>
  <sheetViews>
    <sheetView tabSelected="1" workbookViewId="0">
      <selection activeCell="E8" sqref="E8"/>
    </sheetView>
  </sheetViews>
  <sheetFormatPr defaultRowHeight="14.4" x14ac:dyDescent="0.3"/>
  <cols>
    <col min="2" max="3" width="11.5546875" bestFit="1" customWidth="1"/>
    <col min="4" max="4" width="10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t="s">
        <v>15</v>
      </c>
    </row>
    <row r="2" spans="1:4" x14ac:dyDescent="0.3">
      <c r="A2" s="2" t="s">
        <v>3</v>
      </c>
      <c r="B2" s="3">
        <v>10000</v>
      </c>
      <c r="C2" s="6">
        <f>B2/B5</f>
        <v>0.22222222222222221</v>
      </c>
      <c r="D2" s="7">
        <f>B2/$B$5</f>
        <v>0.22222222222222221</v>
      </c>
    </row>
    <row r="3" spans="1:4" x14ac:dyDescent="0.3">
      <c r="A3" s="2" t="s">
        <v>4</v>
      </c>
      <c r="B3" s="3">
        <v>15000</v>
      </c>
      <c r="C3" s="6" t="e">
        <f t="shared" ref="C3:C5" si="0">B3/B6</f>
        <v>#DIV/0!</v>
      </c>
      <c r="D3" s="7">
        <f t="shared" ref="D3:D5" si="1">B3/$B$5</f>
        <v>0.33333333333333331</v>
      </c>
    </row>
    <row r="4" spans="1:4" x14ac:dyDescent="0.3">
      <c r="A4" s="2" t="s">
        <v>5</v>
      </c>
      <c r="B4" s="3">
        <v>20000</v>
      </c>
      <c r="C4" s="6" t="e">
        <f t="shared" si="0"/>
        <v>#DIV/0!</v>
      </c>
      <c r="D4" s="7">
        <f t="shared" si="1"/>
        <v>0.44444444444444442</v>
      </c>
    </row>
    <row r="5" spans="1:4" x14ac:dyDescent="0.3">
      <c r="A5" s="4" t="s">
        <v>6</v>
      </c>
      <c r="B5" s="5">
        <v>45000</v>
      </c>
      <c r="C5" s="6" t="e">
        <f t="shared" si="0"/>
        <v>#DIV/0!</v>
      </c>
      <c r="D5" s="7"/>
    </row>
    <row r="6" spans="1:4" x14ac:dyDescent="0.3">
      <c r="C6" t="s">
        <v>7</v>
      </c>
      <c r="D6" t="s">
        <v>8</v>
      </c>
    </row>
    <row r="8" spans="1:4" x14ac:dyDescent="0.3">
      <c r="A8" t="s">
        <v>14</v>
      </c>
    </row>
    <row r="9" spans="1:4" x14ac:dyDescent="0.3">
      <c r="A9" s="1" t="s">
        <v>9</v>
      </c>
      <c r="B9" s="1" t="s">
        <v>10</v>
      </c>
      <c r="C9" s="1" t="s">
        <v>11</v>
      </c>
      <c r="D9" s="1" t="s">
        <v>12</v>
      </c>
    </row>
    <row r="10" spans="1:4" x14ac:dyDescent="0.3">
      <c r="A10" s="2">
        <v>2023</v>
      </c>
      <c r="B10" s="2">
        <v>100</v>
      </c>
      <c r="C10" s="2">
        <v>120</v>
      </c>
      <c r="D10" s="2">
        <v>150</v>
      </c>
    </row>
    <row r="11" spans="1:4" ht="28.8" x14ac:dyDescent="0.3">
      <c r="A11" s="2" t="s">
        <v>13</v>
      </c>
      <c r="B11" s="6">
        <f>B10/$A10</f>
        <v>4.9431537320810674E-2</v>
      </c>
      <c r="C11" s="6">
        <f t="shared" ref="C11:D11" si="2">C10/$A10</f>
        <v>5.931784478497281E-2</v>
      </c>
      <c r="D11" s="6">
        <f t="shared" si="2"/>
        <v>7.4147305981216022E-2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2BF2-917D-44A1-91B3-89A4C2B33158}">
  <dimension ref="A1:D5"/>
  <sheetViews>
    <sheetView workbookViewId="0">
      <selection activeCell="E9" sqref="E9"/>
    </sheetView>
  </sheetViews>
  <sheetFormatPr defaultRowHeight="14.4" x14ac:dyDescent="0.3"/>
  <cols>
    <col min="1" max="1" width="13.44140625" customWidth="1"/>
    <col min="3" max="3" width="10.33203125" bestFit="1" customWidth="1"/>
  </cols>
  <sheetData>
    <row r="1" spans="1:4" ht="28.8" x14ac:dyDescent="0.3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">
      <c r="A2" s="2" t="s">
        <v>20</v>
      </c>
      <c r="B2" s="2" t="s">
        <v>21</v>
      </c>
      <c r="C2" s="9">
        <v>45292</v>
      </c>
      <c r="D2" s="2" t="s">
        <v>22</v>
      </c>
    </row>
    <row r="3" spans="1:4" x14ac:dyDescent="0.3">
      <c r="A3" s="2" t="s">
        <v>23</v>
      </c>
      <c r="B3" s="2" t="s">
        <v>24</v>
      </c>
      <c r="C3" s="9">
        <v>45292</v>
      </c>
      <c r="D3" s="2" t="s">
        <v>25</v>
      </c>
    </row>
    <row r="4" spans="1:4" x14ac:dyDescent="0.3">
      <c r="A4" s="2" t="s">
        <v>26</v>
      </c>
      <c r="B4" s="2" t="s">
        <v>27</v>
      </c>
      <c r="C4" s="9">
        <v>45292</v>
      </c>
      <c r="D4" s="2" t="s">
        <v>22</v>
      </c>
    </row>
    <row r="5" spans="1:4" x14ac:dyDescent="0.3">
      <c r="A5" s="2" t="s">
        <v>28</v>
      </c>
      <c r="B5" s="2" t="s">
        <v>29</v>
      </c>
      <c r="C5" s="9">
        <v>45292</v>
      </c>
      <c r="D5" s="2" t="s">
        <v>25</v>
      </c>
    </row>
  </sheetData>
  <conditionalFormatting sqref="D2">
    <cfRule type="containsText" dxfId="7" priority="4" operator="containsText" text="Absent">
      <formula>NOT(ISERROR(SEARCH("Absent",D2)))</formula>
    </cfRule>
    <cfRule type="containsText" dxfId="6" priority="5" operator="containsText" text="Present">
      <formula>NOT(ISERROR(SEARCH("Present",D2)))</formula>
    </cfRule>
  </conditionalFormatting>
  <conditionalFormatting sqref="D3">
    <cfRule type="containsText" dxfId="5" priority="3" operator="containsText" text="Absent">
      <formula>NOT(ISERROR(SEARCH("Absent",D3)))</formula>
    </cfRule>
  </conditionalFormatting>
  <conditionalFormatting sqref="D2:D5">
    <cfRule type="containsText" dxfId="4" priority="1" operator="containsText" text="Absent">
      <formula>NOT(ISERROR(SEARCH("Absent",D2)))</formula>
    </cfRule>
    <cfRule type="containsText" dxfId="3" priority="2" operator="containsText" text="Present">
      <formula>NOT(ISERROR(SEARCH("Present",D2)))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2A8D-1F89-4F22-8ECC-51096924522E}">
  <dimension ref="A1:D13"/>
  <sheetViews>
    <sheetView workbookViewId="0">
      <selection activeCell="B13" sqref="B13"/>
    </sheetView>
  </sheetViews>
  <sheetFormatPr defaultRowHeight="14.4" x14ac:dyDescent="0.3"/>
  <cols>
    <col min="1" max="1" width="14.44140625" bestFit="1" customWidth="1"/>
    <col min="2" max="2" width="10.33203125" bestFit="1" customWidth="1"/>
  </cols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30</v>
      </c>
    </row>
    <row r="2" spans="1:4" x14ac:dyDescent="0.3">
      <c r="A2" s="2" t="s">
        <v>31</v>
      </c>
      <c r="B2" s="9">
        <v>45292</v>
      </c>
      <c r="C2" s="2" t="s">
        <v>22</v>
      </c>
      <c r="D2" s="2">
        <v>8</v>
      </c>
    </row>
    <row r="3" spans="1:4" x14ac:dyDescent="0.3">
      <c r="A3" s="2" t="s">
        <v>31</v>
      </c>
      <c r="B3" s="9">
        <v>45293</v>
      </c>
      <c r="C3" s="2" t="s">
        <v>25</v>
      </c>
      <c r="D3" s="2">
        <v>0</v>
      </c>
    </row>
    <row r="4" spans="1:4" x14ac:dyDescent="0.3">
      <c r="A4" s="2" t="s">
        <v>24</v>
      </c>
      <c r="B4" s="9">
        <v>45292</v>
      </c>
      <c r="C4" s="2" t="s">
        <v>22</v>
      </c>
      <c r="D4" s="2">
        <v>7</v>
      </c>
    </row>
    <row r="5" spans="1:4" x14ac:dyDescent="0.3">
      <c r="A5" s="2" t="s">
        <v>31</v>
      </c>
      <c r="B5" s="9">
        <v>45294</v>
      </c>
      <c r="C5" s="2" t="s">
        <v>22</v>
      </c>
      <c r="D5" s="2">
        <v>9</v>
      </c>
    </row>
    <row r="6" spans="1:4" x14ac:dyDescent="0.3">
      <c r="A6" s="2" t="s">
        <v>24</v>
      </c>
      <c r="B6" s="9">
        <v>45293</v>
      </c>
      <c r="C6" s="2" t="s">
        <v>22</v>
      </c>
      <c r="D6" s="2">
        <v>8</v>
      </c>
    </row>
    <row r="8" spans="1:4" x14ac:dyDescent="0.3">
      <c r="A8" t="s">
        <v>32</v>
      </c>
      <c r="B8">
        <f>SUM(Table4[Hours])</f>
        <v>32</v>
      </c>
    </row>
    <row r="9" spans="1:4" x14ac:dyDescent="0.3">
      <c r="A9" t="s">
        <v>33</v>
      </c>
      <c r="B9">
        <f>AVERAGE(Table4[Hours])</f>
        <v>6.4</v>
      </c>
    </row>
    <row r="10" spans="1:4" x14ac:dyDescent="0.3">
      <c r="A10" t="s">
        <v>34</v>
      </c>
      <c r="B10">
        <f>COUNTA(Table4[Date])</f>
        <v>5</v>
      </c>
    </row>
    <row r="11" spans="1:4" x14ac:dyDescent="0.3">
      <c r="A11" t="s">
        <v>35</v>
      </c>
      <c r="B11">
        <f>COUNTIF(Table4[Status],"Present")</f>
        <v>4</v>
      </c>
    </row>
    <row r="12" spans="1:4" x14ac:dyDescent="0.3">
      <c r="A12" t="s">
        <v>36</v>
      </c>
      <c r="B12">
        <f>COUNTIFS(Table4[Name],"John",Table4[Status],"Present")</f>
        <v>2</v>
      </c>
    </row>
    <row r="13" spans="1:4" x14ac:dyDescent="0.3">
      <c r="A13" t="s">
        <v>37</v>
      </c>
      <c r="B13">
        <f>ROUND(AVERAGE(Table4[Hours]),1)</f>
        <v>6.4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8AB3-03BB-44E7-961B-9275FA8E1AD2}">
  <dimension ref="A1:F17"/>
  <sheetViews>
    <sheetView workbookViewId="0">
      <selection activeCell="A18" sqref="A18"/>
    </sheetView>
  </sheetViews>
  <sheetFormatPr defaultRowHeight="14.4" x14ac:dyDescent="0.3"/>
  <cols>
    <col min="1" max="1" width="16.6640625" customWidth="1"/>
    <col min="3" max="3" width="11.6640625" bestFit="1" customWidth="1"/>
  </cols>
  <sheetData>
    <row r="1" spans="1:6" x14ac:dyDescent="0.3">
      <c r="A1" s="1" t="s">
        <v>42</v>
      </c>
      <c r="B1" s="1" t="s">
        <v>19</v>
      </c>
      <c r="C1" s="1" t="s">
        <v>15</v>
      </c>
      <c r="D1" s="1" t="s">
        <v>43</v>
      </c>
      <c r="E1" s="1" t="s">
        <v>44</v>
      </c>
      <c r="F1" s="1" t="s">
        <v>45</v>
      </c>
    </row>
    <row r="2" spans="1:6" x14ac:dyDescent="0.3">
      <c r="A2" s="2" t="s">
        <v>38</v>
      </c>
      <c r="B2" s="2" t="s">
        <v>22</v>
      </c>
      <c r="C2" s="2" t="str">
        <f>_xlfn.CONCAT(Table6[[#This Row],[Employee Name]],"-",Table6[[#This Row],[Status]])</f>
        <v>john-Present</v>
      </c>
      <c r="D2" s="2" t="str">
        <f t="shared" ref="D2:D6" si="0">PROPER(TRIM(A2))</f>
        <v>John</v>
      </c>
      <c r="E2" s="2" t="str">
        <f t="shared" ref="E2:E6" si="1">LEFT(PROPER(TRIM(A2)),3)</f>
        <v>Joh</v>
      </c>
      <c r="F2" s="10">
        <f>LEN(Table6[[#This Row],[Employee Name]])</f>
        <v>4</v>
      </c>
    </row>
    <row r="3" spans="1:6" x14ac:dyDescent="0.3">
      <c r="A3" s="2" t="s">
        <v>39</v>
      </c>
      <c r="B3" s="2" t="s">
        <v>25</v>
      </c>
      <c r="C3" s="2" t="str">
        <f>_xlfn.CONCAT(Table6[[#This Row],[Employee Name]],"-",Table6[[#This Row],[Status]])</f>
        <v>Sara-Absent</v>
      </c>
      <c r="D3" s="2" t="str">
        <f t="shared" si="0"/>
        <v>Sara</v>
      </c>
      <c r="E3" s="2" t="str">
        <f t="shared" si="1"/>
        <v>Sar</v>
      </c>
      <c r="F3" s="10">
        <f>LEN(Table6[[#This Row],[Employee Name]])</f>
        <v>4</v>
      </c>
    </row>
    <row r="4" spans="1:6" x14ac:dyDescent="0.3">
      <c r="A4" s="2" t="s">
        <v>40</v>
      </c>
      <c r="B4" s="2" t="s">
        <v>22</v>
      </c>
      <c r="C4" s="2" t="str">
        <f>_xlfn.CONCAT(Table6[[#This Row],[Employee Name]],"-",Table6[[#This Row],[Status]])</f>
        <v>RAVI-Present</v>
      </c>
      <c r="D4" s="2" t="str">
        <f t="shared" si="0"/>
        <v>Ravi</v>
      </c>
      <c r="E4" s="2" t="str">
        <f t="shared" si="1"/>
        <v>Rav</v>
      </c>
      <c r="F4" s="10">
        <f>LEN(Table6[[#This Row],[Employee Name]])</f>
        <v>4</v>
      </c>
    </row>
    <row r="5" spans="1:6" x14ac:dyDescent="0.3">
      <c r="A5" s="2" t="s">
        <v>31</v>
      </c>
      <c r="B5" s="2" t="s">
        <v>22</v>
      </c>
      <c r="C5" s="2" t="str">
        <f>_xlfn.CONCAT(Table6[[#This Row],[Employee Name]],"-",Table6[[#This Row],[Status]])</f>
        <v>John-Present</v>
      </c>
      <c r="D5" s="2" t="str">
        <f t="shared" si="0"/>
        <v>John</v>
      </c>
      <c r="E5" s="2" t="str">
        <f t="shared" si="1"/>
        <v>Joh</v>
      </c>
      <c r="F5" s="10">
        <f>LEN(Table6[[#This Row],[Employee Name]])</f>
        <v>4</v>
      </c>
    </row>
    <row r="6" spans="1:6" x14ac:dyDescent="0.3">
      <c r="A6" s="2" t="s">
        <v>41</v>
      </c>
      <c r="B6" s="2" t="s">
        <v>25</v>
      </c>
      <c r="C6" s="2" t="str">
        <f>_xlfn.CONCAT(Table6[[#This Row],[Employee Name]],"-",Table6[[#This Row],[Status]])</f>
        <v>ravi-Absent</v>
      </c>
      <c r="D6" s="2" t="str">
        <f t="shared" si="0"/>
        <v>Ravi</v>
      </c>
      <c r="E6" s="2" t="str">
        <f t="shared" si="1"/>
        <v>Rav</v>
      </c>
      <c r="F6" s="10">
        <f>LEN(Table6[[#This Row],[Employee Name]])</f>
        <v>4</v>
      </c>
    </row>
    <row r="8" spans="1:6" x14ac:dyDescent="0.3">
      <c r="A8" t="str">
        <f>TRIM(A2)</f>
        <v>john</v>
      </c>
      <c r="B8" t="str">
        <f>_xlfn.TEXTJOIN(", ",TRUE,Table6[Employee Name])</f>
        <v>john, Sara, RAVI, John, ravi</v>
      </c>
    </row>
    <row r="9" spans="1:6" x14ac:dyDescent="0.3">
      <c r="A9" t="str">
        <f>PROPER(TRIM(A2))</f>
        <v>John</v>
      </c>
    </row>
    <row r="11" spans="1:6" x14ac:dyDescent="0.3">
      <c r="A11" t="s">
        <v>46</v>
      </c>
    </row>
    <row r="12" spans="1:6" x14ac:dyDescent="0.3">
      <c r="A12" t="s">
        <v>47</v>
      </c>
    </row>
    <row r="13" spans="1:6" x14ac:dyDescent="0.3">
      <c r="A13" t="s">
        <v>48</v>
      </c>
    </row>
    <row r="14" spans="1:6" x14ac:dyDescent="0.3">
      <c r="A14" t="s">
        <v>49</v>
      </c>
    </row>
    <row r="15" spans="1:6" x14ac:dyDescent="0.3">
      <c r="A15" t="s">
        <v>50</v>
      </c>
    </row>
    <row r="16" spans="1:6" x14ac:dyDescent="0.3">
      <c r="A16" t="s">
        <v>51</v>
      </c>
    </row>
    <row r="17" spans="1:1" x14ac:dyDescent="0.3">
      <c r="A17" t="s">
        <v>52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BE82-74E0-461C-8FDE-2636E791DC33}">
  <dimension ref="A1:C11"/>
  <sheetViews>
    <sheetView workbookViewId="0">
      <selection activeCell="A16" sqref="A16"/>
    </sheetView>
  </sheetViews>
  <sheetFormatPr defaultRowHeight="14.4" x14ac:dyDescent="0.3"/>
  <cols>
    <col min="1" max="1" width="15.4414062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s="2" t="s">
        <v>31</v>
      </c>
      <c r="B2" s="11">
        <v>46027</v>
      </c>
      <c r="C2" s="2" t="s">
        <v>22</v>
      </c>
    </row>
    <row r="3" spans="1:3" x14ac:dyDescent="0.3">
      <c r="A3" s="2" t="s">
        <v>31</v>
      </c>
      <c r="B3" s="11">
        <v>46028</v>
      </c>
      <c r="C3" s="2" t="s">
        <v>25</v>
      </c>
    </row>
    <row r="4" spans="1:3" x14ac:dyDescent="0.3">
      <c r="A4" s="2" t="s">
        <v>24</v>
      </c>
      <c r="B4" s="11">
        <v>46029</v>
      </c>
      <c r="C4" s="2" t="s">
        <v>22</v>
      </c>
    </row>
    <row r="5" spans="1:3" x14ac:dyDescent="0.3">
      <c r="A5" s="2" t="s">
        <v>31</v>
      </c>
      <c r="B5" s="11">
        <v>46032</v>
      </c>
      <c r="C5" s="2" t="s">
        <v>22</v>
      </c>
    </row>
    <row r="6" spans="1:3" x14ac:dyDescent="0.3">
      <c r="A6" s="2" t="s">
        <v>24</v>
      </c>
      <c r="B6" s="11">
        <v>46037</v>
      </c>
      <c r="C6" s="2" t="s">
        <v>22</v>
      </c>
    </row>
    <row r="8" spans="1:3" x14ac:dyDescent="0.3">
      <c r="A8" s="8">
        <f ca="1">TODAY()</f>
        <v>46049</v>
      </c>
    </row>
    <row r="9" spans="1:3" x14ac:dyDescent="0.3">
      <c r="A9" s="12">
        <f ca="1">NOW()</f>
        <v>46049.698596875001</v>
      </c>
    </row>
    <row r="10" spans="1:3" x14ac:dyDescent="0.3">
      <c r="A10">
        <f ca="1">EOMONTH(TODAY(),0)</f>
        <v>46053</v>
      </c>
    </row>
    <row r="11" spans="1:3" x14ac:dyDescent="0.3">
      <c r="A11" t="b">
        <f>COUNTIFS(
C2:C100,"Present",
B2:B100,"&gt;="&amp;DATE(2026,1,1),
B2:B100,"&lt;="&amp;EOMONTH(DATE(2026,1,1),0)
)=COUNTIFS(
C2:C100,"Present",
B2:B100,"&gt;="&amp;DATE(2026,1,1),
B2:B100,"&lt;="&amp;EOMONTH(DATE(2026,1,1),0)
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398F-16DB-49D7-AC5C-1FE53A9F9CD2}">
  <dimension ref="A1:I13"/>
  <sheetViews>
    <sheetView topLeftCell="D1" workbookViewId="0">
      <selection activeCell="G12" sqref="G12"/>
    </sheetView>
  </sheetViews>
  <sheetFormatPr defaultRowHeight="14.4" x14ac:dyDescent="0.3"/>
  <cols>
    <col min="1" max="1" width="14" customWidth="1"/>
    <col min="2" max="2" width="17.21875" customWidth="1"/>
    <col min="3" max="3" width="10.33203125" bestFit="1" customWidth="1"/>
    <col min="4" max="4" width="15.6640625" style="16" customWidth="1"/>
    <col min="5" max="5" width="17" style="16" customWidth="1"/>
    <col min="7" max="7" width="15.88671875" customWidth="1"/>
  </cols>
  <sheetData>
    <row r="1" spans="1:9" ht="28.8" x14ac:dyDescent="0.3">
      <c r="A1" s="1" t="s">
        <v>53</v>
      </c>
      <c r="B1" s="1" t="s">
        <v>54</v>
      </c>
      <c r="C1" s="13" t="s">
        <v>18</v>
      </c>
      <c r="D1" s="14" t="s">
        <v>55</v>
      </c>
      <c r="E1" s="14" t="s">
        <v>56</v>
      </c>
      <c r="F1" s="1" t="s">
        <v>19</v>
      </c>
      <c r="G1" s="1" t="s">
        <v>57</v>
      </c>
      <c r="H1" s="1" t="s">
        <v>60</v>
      </c>
      <c r="I1" s="1" t="s">
        <v>61</v>
      </c>
    </row>
    <row r="2" spans="1:9" x14ac:dyDescent="0.3">
      <c r="A2" s="2" t="s">
        <v>20</v>
      </c>
      <c r="B2" s="2" t="s">
        <v>21</v>
      </c>
      <c r="C2" s="9">
        <v>46023</v>
      </c>
      <c r="D2" s="15">
        <v>0.37847222222222221</v>
      </c>
      <c r="E2" s="15">
        <v>0.72916666666666663</v>
      </c>
      <c r="F2" s="2" t="s">
        <v>22</v>
      </c>
      <c r="G2" s="17">
        <f>IF(Table8[[#This Row],[Status]]="Present",(Table8[[#This Row],[Check_out_Time]]-Table8[[#This Row],[Check_in_Time]])*24,0)</f>
        <v>8.4166666666666661</v>
      </c>
      <c r="H2" s="2">
        <f t="shared" ref="H2:H13" si="0">COUNTIFS(B:B,"Rahul",F:F,"Present")</f>
        <v>3</v>
      </c>
      <c r="I2" s="2">
        <f t="shared" ref="I2:I13" si="1">COUNTIFS(B:B,"Rahul",F:F,"Absent")</f>
        <v>1</v>
      </c>
    </row>
    <row r="3" spans="1:9" x14ac:dyDescent="0.3">
      <c r="A3" s="2" t="s">
        <v>20</v>
      </c>
      <c r="B3" s="2" t="s">
        <v>21</v>
      </c>
      <c r="C3" s="9">
        <v>46024</v>
      </c>
      <c r="D3" s="15">
        <v>0.37152777777777779</v>
      </c>
      <c r="E3" s="15">
        <v>0.73611111111111116</v>
      </c>
      <c r="F3" s="2" t="s">
        <v>22</v>
      </c>
      <c r="G3" s="17">
        <f>IF(Table8[[#This Row],[Status]]="Present",(Table8[[#This Row],[Check_out_Time]]-Table8[[#This Row],[Check_in_Time]])*24,0)</f>
        <v>8.75</v>
      </c>
      <c r="H3" s="2">
        <f t="shared" si="0"/>
        <v>3</v>
      </c>
      <c r="I3" s="2">
        <f t="shared" si="1"/>
        <v>1</v>
      </c>
    </row>
    <row r="4" spans="1:9" x14ac:dyDescent="0.3">
      <c r="A4" s="2" t="s">
        <v>20</v>
      </c>
      <c r="B4" s="2" t="s">
        <v>21</v>
      </c>
      <c r="C4" s="9">
        <v>46025</v>
      </c>
      <c r="D4" s="15">
        <v>0</v>
      </c>
      <c r="E4" s="15">
        <v>0</v>
      </c>
      <c r="F4" s="2" t="s">
        <v>25</v>
      </c>
      <c r="G4" s="17">
        <f>IF(Table8[[#This Row],[Status]]="Present",(Table8[[#This Row],[Check_out_Time]]-Table8[[#This Row],[Check_in_Time]])*24,0)</f>
        <v>0</v>
      </c>
      <c r="H4" s="2">
        <f t="shared" si="0"/>
        <v>3</v>
      </c>
      <c r="I4" s="2">
        <f t="shared" si="1"/>
        <v>1</v>
      </c>
    </row>
    <row r="5" spans="1:9" x14ac:dyDescent="0.3">
      <c r="A5" s="2" t="s">
        <v>20</v>
      </c>
      <c r="B5" s="2" t="s">
        <v>21</v>
      </c>
      <c r="C5" s="9">
        <v>46026</v>
      </c>
      <c r="D5" s="15">
        <v>0.3888888888888889</v>
      </c>
      <c r="E5" s="15">
        <v>0.71875</v>
      </c>
      <c r="F5" s="2" t="s">
        <v>22</v>
      </c>
      <c r="G5" s="17">
        <f>IF(Table8[[#This Row],[Status]]="Present",(Table8[[#This Row],[Check_out_Time]]-Table8[[#This Row],[Check_in_Time]])*24,0)</f>
        <v>7.9166666666666661</v>
      </c>
      <c r="H5" s="2">
        <f t="shared" si="0"/>
        <v>3</v>
      </c>
      <c r="I5" s="2">
        <f t="shared" si="1"/>
        <v>1</v>
      </c>
    </row>
    <row r="6" spans="1:9" x14ac:dyDescent="0.3">
      <c r="A6" s="2" t="s">
        <v>23</v>
      </c>
      <c r="B6" s="2" t="s">
        <v>58</v>
      </c>
      <c r="C6" s="9">
        <v>46023</v>
      </c>
      <c r="D6" s="15">
        <v>0.36805555555555558</v>
      </c>
      <c r="E6" s="15">
        <v>0.74305555555555558</v>
      </c>
      <c r="F6" s="2" t="s">
        <v>22</v>
      </c>
      <c r="G6" s="17">
        <f>IF(Table8[[#This Row],[Status]]="Present",(Table8[[#This Row],[Check_out_Time]]-Table8[[#This Row],[Check_in_Time]])*24,0)</f>
        <v>9</v>
      </c>
      <c r="H6" s="2">
        <f t="shared" si="0"/>
        <v>3</v>
      </c>
      <c r="I6" s="2">
        <f t="shared" si="1"/>
        <v>1</v>
      </c>
    </row>
    <row r="7" spans="1:9" x14ac:dyDescent="0.3">
      <c r="A7" s="2" t="s">
        <v>23</v>
      </c>
      <c r="B7" s="2" t="s">
        <v>58</v>
      </c>
      <c r="C7" s="9">
        <v>46024</v>
      </c>
      <c r="D7" s="15">
        <v>0</v>
      </c>
      <c r="E7" s="15">
        <v>0</v>
      </c>
      <c r="F7" s="2" t="s">
        <v>25</v>
      </c>
      <c r="G7" s="17">
        <f>IF(Table8[[#This Row],[Status]]="Present",(Table8[[#This Row],[Check_out_Time]]-Table8[[#This Row],[Check_in_Time]])*24,0)</f>
        <v>0</v>
      </c>
      <c r="H7" s="2">
        <f t="shared" si="0"/>
        <v>3</v>
      </c>
      <c r="I7" s="2">
        <f t="shared" si="1"/>
        <v>1</v>
      </c>
    </row>
    <row r="8" spans="1:9" x14ac:dyDescent="0.3">
      <c r="A8" s="2" t="s">
        <v>23</v>
      </c>
      <c r="B8" s="2" t="s">
        <v>58</v>
      </c>
      <c r="C8" s="9">
        <v>46025</v>
      </c>
      <c r="D8" s="15">
        <v>0.38194444444444442</v>
      </c>
      <c r="E8" s="15">
        <v>0.72569444444444442</v>
      </c>
      <c r="F8" s="2" t="s">
        <v>22</v>
      </c>
      <c r="G8" s="17">
        <f>IF(Table8[[#This Row],[Status]]="Present",(Table8[[#This Row],[Check_out_Time]]-Table8[[#This Row],[Check_in_Time]])*24,0)</f>
        <v>8.25</v>
      </c>
      <c r="H8" s="2">
        <f t="shared" si="0"/>
        <v>3</v>
      </c>
      <c r="I8" s="2">
        <f t="shared" si="1"/>
        <v>1</v>
      </c>
    </row>
    <row r="9" spans="1:9" x14ac:dyDescent="0.3">
      <c r="A9" s="2" t="s">
        <v>23</v>
      </c>
      <c r="B9" s="2" t="s">
        <v>58</v>
      </c>
      <c r="C9" s="9">
        <v>46026</v>
      </c>
      <c r="D9" s="15">
        <v>0.37152777777777779</v>
      </c>
      <c r="E9" s="15">
        <v>0.73263888888888884</v>
      </c>
      <c r="F9" s="2" t="s">
        <v>22</v>
      </c>
      <c r="G9" s="17">
        <f>IF(Table8[[#This Row],[Status]]="Present",(Table8[[#This Row],[Check_out_Time]]-Table8[[#This Row],[Check_in_Time]])*24,0)</f>
        <v>8.6666666666666643</v>
      </c>
      <c r="H9" s="2">
        <f t="shared" si="0"/>
        <v>3</v>
      </c>
      <c r="I9" s="2">
        <f t="shared" si="1"/>
        <v>1</v>
      </c>
    </row>
    <row r="10" spans="1:9" x14ac:dyDescent="0.3">
      <c r="A10" s="2" t="s">
        <v>26</v>
      </c>
      <c r="B10" s="2" t="s">
        <v>59</v>
      </c>
      <c r="C10" s="9">
        <v>46023</v>
      </c>
      <c r="D10" s="15">
        <v>0.39583333333333331</v>
      </c>
      <c r="E10" s="15">
        <v>0.71527777777777779</v>
      </c>
      <c r="F10" s="2" t="s">
        <v>22</v>
      </c>
      <c r="G10" s="17">
        <f>IF(Table8[[#This Row],[Status]]="Present",(Table8[[#This Row],[Check_out_Time]]-Table8[[#This Row],[Check_in_Time]])*24,0)</f>
        <v>7.6666666666666679</v>
      </c>
      <c r="H10" s="2">
        <f t="shared" si="0"/>
        <v>3</v>
      </c>
      <c r="I10" s="2">
        <f t="shared" si="1"/>
        <v>1</v>
      </c>
    </row>
    <row r="11" spans="1:9" x14ac:dyDescent="0.3">
      <c r="A11" s="2" t="s">
        <v>26</v>
      </c>
      <c r="B11" s="2" t="s">
        <v>59</v>
      </c>
      <c r="C11" s="9">
        <v>46024</v>
      </c>
      <c r="D11" s="15">
        <v>0.375</v>
      </c>
      <c r="E11" s="15">
        <v>0.73958333333333337</v>
      </c>
      <c r="F11" s="2" t="s">
        <v>22</v>
      </c>
      <c r="G11" s="17">
        <f>IF(Table8[[#This Row],[Status]]="Present",(Table8[[#This Row],[Check_out_Time]]-Table8[[#This Row],[Check_in_Time]])*24,0)</f>
        <v>8.75</v>
      </c>
      <c r="H11" s="2">
        <f t="shared" si="0"/>
        <v>3</v>
      </c>
      <c r="I11" s="2">
        <f t="shared" si="1"/>
        <v>1</v>
      </c>
    </row>
    <row r="12" spans="1:9" x14ac:dyDescent="0.3">
      <c r="A12" s="2" t="s">
        <v>26</v>
      </c>
      <c r="B12" s="2" t="s">
        <v>59</v>
      </c>
      <c r="C12" s="9">
        <v>46025</v>
      </c>
      <c r="D12" s="15">
        <v>0</v>
      </c>
      <c r="E12" s="15">
        <v>0</v>
      </c>
      <c r="F12" s="2" t="s">
        <v>25</v>
      </c>
      <c r="G12" s="17">
        <f>IF(Table8[[#This Row],[Status]]="Present",(Table8[[#This Row],[Check_out_Time]]-Table8[[#This Row],[Check_in_Time]])*24,0)</f>
        <v>0</v>
      </c>
      <c r="H12" s="2">
        <f t="shared" si="0"/>
        <v>3</v>
      </c>
      <c r="I12" s="2">
        <f t="shared" si="1"/>
        <v>1</v>
      </c>
    </row>
    <row r="13" spans="1:9" x14ac:dyDescent="0.3">
      <c r="A13" s="2" t="s">
        <v>26</v>
      </c>
      <c r="B13" s="2" t="s">
        <v>59</v>
      </c>
      <c r="C13" s="9">
        <v>46026</v>
      </c>
      <c r="D13" s="15">
        <v>0.38541666666666669</v>
      </c>
      <c r="E13" s="15">
        <v>0.72222222222222221</v>
      </c>
      <c r="F13" s="2" t="s">
        <v>22</v>
      </c>
      <c r="G13" s="17">
        <f>IF(Table8[[#This Row],[Status]]="Present",(Table8[[#This Row],[Check_out_Time]]-Table8[[#This Row],[Check_in_Time]])*24,0)</f>
        <v>8.0833333333333321</v>
      </c>
      <c r="H13" s="2">
        <f t="shared" si="0"/>
        <v>3</v>
      </c>
      <c r="I13" s="2">
        <f t="shared" si="1"/>
        <v>1</v>
      </c>
    </row>
  </sheetData>
  <conditionalFormatting sqref="F2:F13">
    <cfRule type="containsText" dxfId="2" priority="2" operator="containsText" text="Absent">
      <formula>NOT(ISERROR(SEARCH("Absent",F2)))</formula>
    </cfRule>
    <cfRule type="containsText" dxfId="1" priority="3" operator="containsText" text="Present">
      <formula>NOT(ISERROR(SEARCH("Present",F2)))</formula>
    </cfRule>
  </conditionalFormatting>
  <conditionalFormatting sqref="G2:G13">
    <cfRule type="cellIs" dxfId="0" priority="1" operator="lessThan">
      <formula>8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cell ref</vt:lpstr>
      <vt:lpstr>conditional formatting</vt:lpstr>
      <vt:lpstr>Math fun</vt:lpstr>
      <vt:lpstr>Text func</vt:lpstr>
      <vt:lpstr>dates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Kumari</dc:creator>
  <cp:lastModifiedBy>Seema Kumari</cp:lastModifiedBy>
  <dcterms:created xsi:type="dcterms:W3CDTF">2026-01-27T10:05:51Z</dcterms:created>
  <dcterms:modified xsi:type="dcterms:W3CDTF">2026-01-27T11:16:56Z</dcterms:modified>
</cp:coreProperties>
</file>